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arket Size" sheetId="2" state="visible" r:id="rId4"/>
    <sheet name="Team Build" sheetId="3" state="visible" r:id="rId5"/>
    <sheet name="Scenario Comparison" sheetId="4" state="visible" r:id="rId6"/>
    <sheet name="Cashflow - $2M" sheetId="5" state="visible" r:id="rId7"/>
    <sheet name="Investor Metrics" sheetId="6" state="visible" r:id="rId8"/>
    <sheet name="Milest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<sst xmlns="http://schemas.openxmlformats.org/spreadsheetml/2006/main" count="428" uniqueCount="389">
  <si>
    <t xml:space="preserve">SAGA - Intelligence Infrastructure</t>
  </si>
  <si>
    <t xml:space="preserve">Seed Round Financial Model | December 2024</t>
  </si>
  <si>
    <t xml:space="preserve">The Unfair Advantage: Qualitative Risk Intelligence at Quantitative Scale</t>
  </si>
  <si>
    <t xml:space="preserve">RAISE SCENARIOS AT A GLANCE</t>
  </si>
  <si>
    <t xml:space="preserve">Metric</t>
  </si>
  <si>
    <t xml:space="preserve">$500K (Lean)</t>
  </si>
  <si>
    <t xml:space="preserve">$1M (Base)</t>
  </si>
  <si>
    <t xml:space="preserve">$2M (Growth)</t>
  </si>
  <si>
    <t xml:space="preserve">$4M (Scale)</t>
  </si>
  <si>
    <t xml:space="preserve">Raise Amount</t>
  </si>
  <si>
    <t xml:space="preserve">$500,000</t>
  </si>
  <si>
    <t xml:space="preserve">$1,000,000</t>
  </si>
  <si>
    <t xml:space="preserve">$2,000,000</t>
  </si>
  <si>
    <t xml:space="preserve">$4,000,000</t>
  </si>
  <si>
    <t xml:space="preserve">Target Runway</t>
  </si>
  <si>
    <t xml:space="preserve">18 months</t>
  </si>
  <si>
    <t xml:space="preserve">24 months</t>
  </si>
  <si>
    <t xml:space="preserve">Team Size (Start)</t>
  </si>
  <si>
    <t xml:space="preserve">2 founders</t>
  </si>
  <si>
    <t xml:space="preserve">3 founders</t>
  </si>
  <si>
    <t xml:space="preserve">4 founders</t>
  </si>
  <si>
    <t xml:space="preserve">Team Size (Y1 End)</t>
  </si>
  <si>
    <t xml:space="preserve">4 people</t>
  </si>
  <si>
    <t xml:space="preserve">5 people</t>
  </si>
  <si>
    <t xml:space="preserve">8 people</t>
  </si>
  <si>
    <t xml:space="preserve">12 people</t>
  </si>
  <si>
    <t xml:space="preserve">Team Size (Y2 End)</t>
  </si>
  <si>
    <t xml:space="preserve">6 people</t>
  </si>
  <si>
    <t xml:space="preserve">18 people</t>
  </si>
  <si>
    <t xml:space="preserve">Y1 Customers (Base)</t>
  </si>
  <si>
    <t xml:space="preserve">8</t>
  </si>
  <si>
    <t xml:space="preserve">15</t>
  </si>
  <si>
    <t xml:space="preserve">25</t>
  </si>
  <si>
    <t xml:space="preserve">40</t>
  </si>
  <si>
    <t xml:space="preserve">Y1 ARR (Run Rate)</t>
  </si>
  <si>
    <t xml:space="preserve">$1.15M</t>
  </si>
  <si>
    <t xml:space="preserve">$2.16M</t>
  </si>
  <si>
    <t xml:space="preserve">$3.6M</t>
  </si>
  <si>
    <t xml:space="preserve">$5.76M</t>
  </si>
  <si>
    <t xml:space="preserve">Y2 Customers (Base)</t>
  </si>
  <si>
    <t xml:space="preserve">18</t>
  </si>
  <si>
    <t xml:space="preserve">35</t>
  </si>
  <si>
    <t xml:space="preserve">60</t>
  </si>
  <si>
    <t xml:space="preserve">100</t>
  </si>
  <si>
    <t xml:space="preserve">Y2 ARR (Run Rate)</t>
  </si>
  <si>
    <t xml:space="preserve">$2.6M</t>
  </si>
  <si>
    <t xml:space="preserve">$5.0M</t>
  </si>
  <si>
    <t xml:space="preserve">$8.6M</t>
  </si>
  <si>
    <t xml:space="preserve">$14.4M</t>
  </si>
  <si>
    <t xml:space="preserve">Break-even Target</t>
  </si>
  <si>
    <t xml:space="preserve">Month 12-14</t>
  </si>
  <si>
    <t xml:space="preserve">Month 8-10</t>
  </si>
  <si>
    <t xml:space="preserve">Month 6-8</t>
  </si>
  <si>
    <t xml:space="preserve">Month 5-6</t>
  </si>
  <si>
    <t xml:space="preserve">RECOMMENDED: $2M RAISE → 7-8 PERSON TEAM BY Y1</t>
  </si>
  <si>
    <t xml:space="preserve">WHY $2M IS THE SWEET SPOT</t>
  </si>
  <si>
    <t xml:space="preserve">✓ 24-month runway gives time to prove model + raise Series A</t>
  </si>
  <si>
    <t xml:space="preserve">✓ 8-person team by Y1 enables 25+ customers (enough for Series A)</t>
  </si>
  <si>
    <t xml:space="preserve">✓ Not over-diluting at seed (20-25% vs 30%+ for $4M)</t>
  </si>
  <si>
    <t xml:space="preserve">✓ $3.6M ARR by Y1 → strong Series A position ($10-15M raise)</t>
  </si>
  <si>
    <t xml:space="preserve">✓ Matches your founding team structure (tech + ops + finance + sales)</t>
  </si>
  <si>
    <t xml:space="preserve">MARKET SIZE ANALYSIS</t>
  </si>
  <si>
    <t xml:space="preserve">Bottom-Up, Defensible Market Sizing</t>
  </si>
  <si>
    <t xml:space="preserve">THE MARKET WE CAN DOMINATE</t>
  </si>
  <si>
    <t xml:space="preserve">We are NOT competing in 'alternative data' ($10B+ market) — that's satellite imagery, credit card data, etc.</t>
  </si>
  <si>
    <t xml:space="preserve">We are NOT competing in 'risk management software' ($50B market) — that's backward-looking VaR systems.</t>
  </si>
  <si>
    <t xml:space="preserve">WE ARE CREATING A NEW CATEGORY:</t>
  </si>
  <si>
    <t xml:space="preserve">AI-Powered Qualitative Risk Intelligence — turning unstructured world events into quantified portfolio threats.</t>
  </si>
  <si>
    <t xml:space="preserve">Think: Palantir for investment decisions. Recorded Future for financial risk. Strategic Bloomberg.</t>
  </si>
  <si>
    <t xml:space="preserve">BOTTOM-UP MARKET SIZING</t>
  </si>
  <si>
    <t xml:space="preserve">Segment</t>
  </si>
  <si>
    <t xml:space="preserve"># of Firms</t>
  </si>
  <si>
    <t xml:space="preserve">Addressable %</t>
  </si>
  <si>
    <t xml:space="preserve">ACV</t>
  </si>
  <si>
    <t xml:space="preserve">Market Size</t>
  </si>
  <si>
    <t xml:space="preserve">Hedge Funds (Global)</t>
  </si>
  <si>
    <t xml:space="preserve">Family Offices (Global)</t>
  </si>
  <si>
    <t xml:space="preserve">PE/VC Firms</t>
  </si>
  <si>
    <t xml:space="preserve">Corporate Strategy Teams (F500)</t>
  </si>
  <si>
    <t xml:space="preserve">Asset Managers (Top 500)</t>
  </si>
  <si>
    <t xml:space="preserve">TOTAL ADDRESSABLE MARKET (TAM)</t>
  </si>
  <si>
    <t xml:space="preserve">SERVICEABLE MARKETS</t>
  </si>
  <si>
    <t xml:space="preserve">TAM (Total Addressable)</t>
  </si>
  <si>
    <t xml:space="preserve">All firms that could use AI risk intelligence</t>
  </si>
  <si>
    <t xml:space="preserve">SAM (Serviceable Addressable)</t>
  </si>
  <si>
    <t xml:space="preserve">English-speaking markets, tech-forward firms</t>
  </si>
  <si>
    <t xml:space="preserve">SOM Year 3 (Serviceable Obtainable)</t>
  </si>
  <si>
    <t xml:space="preserve">Realistic capture with 50-100 customers</t>
  </si>
  <si>
    <t xml:space="preserve">SOM Year 5</t>
  </si>
  <si>
    <t xml:space="preserve">Category leadership position</t>
  </si>
  <si>
    <t xml:space="preserve">KEY INSIGHT FOR INVESTORS</t>
  </si>
  <si>
    <t xml:space="preserve">→ We're not claiming 1% of 'SaaS' or 'fintech' — that's lazy market sizing</t>
  </si>
  <si>
    <t xml:space="preserve">→ We counted real firms: 15,000 hedge funds, 8,000 family offices, etc.</t>
  </si>
  <si>
    <t xml:space="preserve">→ 65% of hedge funds already use alternative data (Grand View Research 2024)</t>
  </si>
  <si>
    <t xml:space="preserve">→ Alternative data market growing 50%+ CAGR (from $11B to $135B by 2030)</t>
  </si>
  <si>
    <t xml:space="preserve">→ Our category (AI risk intelligence) is NEW — we're defining it</t>
  </si>
  <si>
    <t xml:space="preserve">→ Comparable: Recorded Future ($2.7B exit) built threat intelligence category</t>
  </si>
  <si>
    <t xml:space="preserve">TEAM BUILD &amp; HIRING PLAN</t>
  </si>
  <si>
    <t xml:space="preserve">Reverse-Engineered from 7-8 Person Target at Y1</t>
  </si>
  <si>
    <t xml:space="preserve">SALARY ASSUMPTIONS (SWEDEN)</t>
  </si>
  <si>
    <t xml:space="preserve">Role</t>
  </si>
  <si>
    <t xml:space="preserve">Monthly (SEK)</t>
  </si>
  <si>
    <t xml:space="preserve">Monthly (USD)</t>
  </si>
  <si>
    <t xml:space="preserve">Annual (USD)</t>
  </si>
  <si>
    <t xml:space="preserve">Founder (tax-optimized)</t>
  </si>
  <si>
    <t xml:space="preserve">55,000</t>
  </si>
  <si>
    <t xml:space="preserve">$5,500</t>
  </si>
  <si>
    <t xml:space="preserve">$66,000</t>
  </si>
  <si>
    <t xml:space="preserve">Founder (target Y1)</t>
  </si>
  <si>
    <t xml:space="preserve">75,000</t>
  </si>
  <si>
    <t xml:space="preserve">$7,500</t>
  </si>
  <si>
    <t xml:space="preserve">$90,000</t>
  </si>
  <si>
    <t xml:space="preserve">Senior Engineer</t>
  </si>
  <si>
    <t xml:space="preserve">65,000</t>
  </si>
  <si>
    <t xml:space="preserve">$6,500</t>
  </si>
  <si>
    <t xml:space="preserve">$78,000</t>
  </si>
  <si>
    <t xml:space="preserve">Mid Engineer</t>
  </si>
  <si>
    <t xml:space="preserve">50,000</t>
  </si>
  <si>
    <t xml:space="preserve">$5,000</t>
  </si>
  <si>
    <t xml:space="preserve">$60,000</t>
  </si>
  <si>
    <t xml:space="preserve">Sales/BD</t>
  </si>
  <si>
    <t xml:space="preserve">Operations/Admin</t>
  </si>
  <si>
    <t xml:space="preserve">40,000</t>
  </si>
  <si>
    <t xml:space="preserve">$4,000</t>
  </si>
  <si>
    <t xml:space="preserve">$48,000</t>
  </si>
  <si>
    <t xml:space="preserve">HIRING TIMELINE ($2M RAISE → 8 PEOPLE BY Y1)</t>
  </si>
  <si>
    <t xml:space="preserve">Quarter</t>
  </si>
  <si>
    <t xml:space="preserve">New Hires</t>
  </si>
  <si>
    <t xml:space="preserve">Total Team</t>
  </si>
  <si>
    <t xml:space="preserve">Monthly Burn</t>
  </si>
  <si>
    <t xml:space="preserve">Key Focus</t>
  </si>
  <si>
    <t xml:space="preserve">Start</t>
  </si>
  <si>
    <t xml:space="preserve">3</t>
  </si>
  <si>
    <t xml:space="preserve">$22,500</t>
  </si>
  <si>
    <t xml:space="preserve">Product, first customers</t>
  </si>
  <si>
    <t xml:space="preserve">Q1 (M1-3)</t>
  </si>
  <si>
    <t xml:space="preserve">+1 engineer</t>
  </si>
  <si>
    <t xml:space="preserve">4</t>
  </si>
  <si>
    <t xml:space="preserve">$29,000</t>
  </si>
  <si>
    <t xml:space="preserve">Scale platform</t>
  </si>
  <si>
    <t xml:space="preserve">Q2 (M4-6)</t>
  </si>
  <si>
    <t xml:space="preserve">+1 engineer, +1 BD</t>
  </si>
  <si>
    <t xml:space="preserve">6</t>
  </si>
  <si>
    <t xml:space="preserve">$41,000</t>
  </si>
  <si>
    <t xml:space="preserve">Sales acceleration</t>
  </si>
  <si>
    <t xml:space="preserve">Q3 (M7-9)</t>
  </si>
  <si>
    <t xml:space="preserve">7</t>
  </si>
  <si>
    <t xml:space="preserve">$47,500</t>
  </si>
  <si>
    <t xml:space="preserve">Product expansion</t>
  </si>
  <si>
    <t xml:space="preserve">Q4 (M10-12)</t>
  </si>
  <si>
    <t xml:space="preserve">+1 ops/success</t>
  </si>
  <si>
    <t xml:space="preserve">$51,500</t>
  </si>
  <si>
    <t xml:space="preserve">Customer success</t>
  </si>
  <si>
    <t xml:space="preserve">Y2 Q1-Q2</t>
  </si>
  <si>
    <t xml:space="preserve">+2-4 hires</t>
  </si>
  <si>
    <t xml:space="preserve">10-12</t>
  </si>
  <si>
    <t xml:space="preserve">$65-80K</t>
  </si>
  <si>
    <t xml:space="preserve">Series A scaling</t>
  </si>
  <si>
    <t xml:space="preserve">TARGET TEAM COMPOSITION (Y1 END)</t>
  </si>
  <si>
    <t xml:space="preserve">CEO/Technical Founder</t>
  </si>
  <si>
    <t xml:space="preserve">You</t>
  </si>
  <si>
    <t xml:space="preserve">Product vision, architecture, key accounts</t>
  </si>
  <si>
    <t xml:space="preserve">CTO/Co-founder</t>
  </si>
  <si>
    <t xml:space="preserve">Technical</t>
  </si>
  <si>
    <t xml:space="preserve">Platform, AI/ML, infrastructure</t>
  </si>
  <si>
    <t xml:space="preserve">COO/Co-founder</t>
  </si>
  <si>
    <t xml:space="preserve">Operations</t>
  </si>
  <si>
    <t xml:space="preserve">Finance, legal, operations</t>
  </si>
  <si>
    <t xml:space="preserve">Head of Sales/Co-founder</t>
  </si>
  <si>
    <t xml:space="preserve">Commercial</t>
  </si>
  <si>
    <t xml:space="preserve">Sales, partnerships, BD</t>
  </si>
  <si>
    <t xml:space="preserve">Senior Engineer #1</t>
  </si>
  <si>
    <t xml:space="preserve">Hire Q1</t>
  </si>
  <si>
    <t xml:space="preserve">Backend, data pipelines</t>
  </si>
  <si>
    <t xml:space="preserve">Senior Engineer #2</t>
  </si>
  <si>
    <t xml:space="preserve">Hire Q2</t>
  </si>
  <si>
    <t xml:space="preserve">Frontend, integrations</t>
  </si>
  <si>
    <t xml:space="preserve">BD/Sales Rep</t>
  </si>
  <si>
    <t xml:space="preserve">Outbound, demos, pipeline</t>
  </si>
  <si>
    <t xml:space="preserve">Customer Success/Ops</t>
  </si>
  <si>
    <t xml:space="preserve">Hire Q4</t>
  </si>
  <si>
    <t xml:space="preserve">Onboarding, support, retention</t>
  </si>
  <si>
    <t xml:space="preserve">RUNWAY CALCULATION ($2M)</t>
  </si>
  <si>
    <t xml:space="preserve">Average Monthly Burn (Y1)</t>
  </si>
  <si>
    <t xml:space="preserve">$45,000</t>
  </si>
  <si>
    <t xml:space="preserve">Blended across hiring ramp</t>
  </si>
  <si>
    <t xml:space="preserve">Average Monthly Burn (Y2)</t>
  </si>
  <si>
    <t xml:space="preserve">$70,000</t>
  </si>
  <si>
    <t xml:space="preserve">Full team + scale costs</t>
  </si>
  <si>
    <t xml:space="preserve">Year 1 Total Burn</t>
  </si>
  <si>
    <t xml:space="preserve">$540,000</t>
  </si>
  <si>
    <t xml:space="preserve">12 months × avg burn</t>
  </si>
  <si>
    <t xml:space="preserve">Year 2 Total Burn (6mo to Series A)</t>
  </si>
  <si>
    <t xml:space="preserve">$420,000</t>
  </si>
  <si>
    <t xml:space="preserve">6 months × Y2 burn</t>
  </si>
  <si>
    <t xml:space="preserve">Total Burn to Series A</t>
  </si>
  <si>
    <t xml:space="preserve">$960,000</t>
  </si>
  <si>
    <t xml:space="preserve">Leaving ~$1M buffer</t>
  </si>
  <si>
    <t xml:space="preserve">Revenue Offset (conservative)</t>
  </si>
  <si>
    <t xml:space="preserve">$400,000</t>
  </si>
  <si>
    <t xml:space="preserve">~15 customers avg over period</t>
  </si>
  <si>
    <t xml:space="preserve">Net Cash Need</t>
  </si>
  <si>
    <t xml:space="preserve">$560,000</t>
  </si>
  <si>
    <t xml:space="preserve">Well within $2M raise</t>
  </si>
  <si>
    <t xml:space="preserve">DETAILED SCENARIO COMPARISON</t>
  </si>
  <si>
    <t xml:space="preserve">$500K</t>
  </si>
  <si>
    <t xml:space="preserve">$1M</t>
  </si>
  <si>
    <t xml:space="preserve">$2M</t>
  </si>
  <si>
    <t xml:space="preserve">$4M</t>
  </si>
  <si>
    <t xml:space="preserve">FUNDING</t>
  </si>
  <si>
    <t xml:space="preserve">Pre-Money Valuation</t>
  </si>
  <si>
    <t xml:space="preserve">Post-Money Valuation</t>
  </si>
  <si>
    <t xml:space="preserve">Dilution</t>
  </si>
  <si>
    <t xml:space="preserve">20%</t>
  </si>
  <si>
    <t xml:space="preserve">25%</t>
  </si>
  <si>
    <t xml:space="preserve">TEAM</t>
  </si>
  <si>
    <t xml:space="preserve">Founders (Start)</t>
  </si>
  <si>
    <t xml:space="preserve">Team Size Y1 End</t>
  </si>
  <si>
    <t xml:space="preserve">Team Size Y2 End</t>
  </si>
  <si>
    <t xml:space="preserve">Avg Monthly Burn Y1</t>
  </si>
  <si>
    <t xml:space="preserve">CUSTOMERS</t>
  </si>
  <si>
    <t xml:space="preserve">Y1 MRR (End)</t>
  </si>
  <si>
    <t xml:space="preserve">RUNWAY &amp; TIMING</t>
  </si>
  <si>
    <t xml:space="preserve">Runway (no revenue)</t>
  </si>
  <si>
    <t xml:space="preserve">15 mo</t>
  </si>
  <si>
    <t xml:space="preserve">18 mo</t>
  </si>
  <si>
    <t xml:space="preserve">24 mo</t>
  </si>
  <si>
    <t xml:space="preserve">M12-14</t>
  </si>
  <si>
    <t xml:space="preserve">M8-10</t>
  </si>
  <si>
    <t xml:space="preserve">M6-8</t>
  </si>
  <si>
    <t xml:space="preserve">M5-6</t>
  </si>
  <si>
    <t xml:space="preserve">Series A Timeline</t>
  </si>
  <si>
    <t xml:space="preserve">M18-24</t>
  </si>
  <si>
    <t xml:space="preserve">M15-18</t>
  </si>
  <si>
    <t xml:space="preserve">M12-15</t>
  </si>
  <si>
    <t xml:space="preserve">Series A Position</t>
  </si>
  <si>
    <t xml:space="preserve">Weak</t>
  </si>
  <si>
    <t xml:space="preserve">Moderate</t>
  </si>
  <si>
    <t xml:space="preserve">Strong</t>
  </si>
  <si>
    <t xml:space="preserve">Very Strong</t>
  </si>
  <si>
    <t xml:space="preserve">24-MONTH CASH FLOW PROJECTION ($2M RAISE)</t>
  </si>
  <si>
    <t xml:space="preserve">Category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</si>
  <si>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</si>
  <si>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</si>
  <si>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</si>
  <si>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</si>
  <si>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</si>
  <si>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</si>
  <si>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</si>
  <si>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</si>
  <si>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</si>
  <si>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</si>
  <si>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</si>
  <si>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</si>
  <si>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</si>
  <si>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</si>
  <si>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</si>
  <si>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</si>
  <si>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</si>
  <si>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</si>
  <si>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</si>
  <si>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</si>
  <si>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</si>
  <si>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</si>
  <si>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</si>
  <si>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</si>
  <si>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</t>
  </si>
  <si>
    <t xml:space="preserve">REVENUE</t>
  </si>
  <si>
    <t xml:space="preserve">New Customers</t>
  </si>
  <si>
    <t xml:space="preserve">Total Customers</t>
  </si>
  <si>
    <t xml:space="preserve">MRR</t>
  </si>
  <si>
    <t xml:space="preserve">EXPENSES</t>
  </si>
  <si>
    <t xml:space="preserve">Team Salaries</t>
  </si>
  <si>
    <t xml:space="preserve">Infrastructure (10%)</t>
  </si>
  <si>
    <t xml:space="preserve">Sales &amp; Marketing</t>
  </si>
  <si>
    <t xml:space="preserve">Tools &amp; Software</t>
  </si>
  <si>
    <t xml:space="preserve">Legal &amp; Admin</t>
  </si>
  <si>
    <t xml:space="preserve">Other/Buffer</t>
  </si>
  <si>
    <t xml:space="preserve">TOTAL EXPENSES</t>
  </si>
  <si>
    <t xml:space="preserve">CASH FLOW</t>
  </si>
  <si>
    <t xml:space="preserve">Net Cash Flow</t>
  </si>
  <si>
    <t xml:space="preserve">Cumulative Cash</t>
  </si>
  <si>
    <t xml:space="preserve">INVESTOR METRICS &amp; COMPARABLES</t>
  </si>
  <si>
    <t xml:space="preserve">UNIT ECONOMICS</t>
  </si>
  <si>
    <t xml:space="preserve">Average Contract Value (ACV)</t>
  </si>
  <si>
    <t xml:space="preserve">$144,000/year</t>
  </si>
  <si>
    <t xml:space="preserve">$12K MRR × 12 months</t>
  </si>
  <si>
    <t xml:space="preserve">Gross Margin</t>
  </si>
  <si>
    <t xml:space="preserve">~90%</t>
  </si>
  <si>
    <t xml:space="preserve">10% infrastructure cost</t>
  </si>
  <si>
    <t xml:space="preserve">Customer Acquisition Cost (CAC)</t>
  </si>
  <si>
    <t xml:space="preserve">$12,000</t>
  </si>
  <si>
    <t xml:space="preserve">Founder-led sales, low initially</t>
  </si>
  <si>
    <t xml:space="preserve">LTV (5yr, 10% churn)</t>
  </si>
  <si>
    <t xml:space="preserve">$518,400</t>
  </si>
  <si>
    <t xml:space="preserve">ACV × 3.6 (retention multiplier)</t>
  </si>
  <si>
    <t xml:space="preserve">LTV:CAC Ratio</t>
  </si>
  <si>
    <t xml:space="preserve">43x</t>
  </si>
  <si>
    <t xml:space="preserve">Exceptional — target is &gt;3x</t>
  </si>
  <si>
    <t xml:space="preserve">Payback Period</t>
  </si>
  <si>
    <t xml:space="preserve">&lt;1 month</t>
  </si>
  <si>
    <t xml:space="preserve">High ACV covers CAC immediately</t>
  </si>
  <si>
    <t xml:space="preserve">Net Revenue Retention</t>
  </si>
  <si>
    <t xml:space="preserve">110%+</t>
  </si>
  <si>
    <t xml:space="preserve">Expansion from compliance module</t>
  </si>
  <si>
    <t xml:space="preserve">MARKET COMPARABLES</t>
  </si>
  <si>
    <t xml:space="preserve">Company</t>
  </si>
  <si>
    <t xml:space="preserve">Valuation</t>
  </si>
  <si>
    <t xml:space="preserve">Multiple</t>
  </si>
  <si>
    <t xml:space="preserve">Recorded Future</t>
  </si>
  <si>
    <t xml:space="preserve">Threat Intelligence</t>
  </si>
  <si>
    <t xml:space="preserve">$2.7B (acquired)</t>
  </si>
  <si>
    <t xml:space="preserve">~10x ARR</t>
  </si>
  <si>
    <t xml:space="preserve">Palantir</t>
  </si>
  <si>
    <t xml:space="preserve">Data Intelligence</t>
  </si>
  <si>
    <t xml:space="preserve">$180B+ (public)</t>
  </si>
  <si>
    <t xml:space="preserve">~25x ARR</t>
  </si>
  <si>
    <t xml:space="preserve">Bloomberg LP</t>
  </si>
  <si>
    <t xml:space="preserve">Financial Data</t>
  </si>
  <si>
    <t xml:space="preserve">$70B+ (est.)</t>
  </si>
  <si>
    <t xml:space="preserve">~7x ARR</t>
  </si>
  <si>
    <t xml:space="preserve">AlphaSense</t>
  </si>
  <si>
    <t xml:space="preserve">Market Intelligence</t>
  </si>
  <si>
    <t xml:space="preserve">$4B+</t>
  </si>
  <si>
    <t xml:space="preserve">~20x ARR</t>
  </si>
  <si>
    <t xml:space="preserve">Preqin</t>
  </si>
  <si>
    <t xml:space="preserve">Alternative Data</t>
  </si>
  <si>
    <t xml:space="preserve">$3.5B (acquired)</t>
  </si>
  <si>
    <t xml:space="preserve">~12x ARR</t>
  </si>
  <si>
    <t xml:space="preserve">RavenPack</t>
  </si>
  <si>
    <t xml:space="preserve">News Analytics</t>
  </si>
  <si>
    <t xml:space="preserve">$500M+ (est.)</t>
  </si>
  <si>
    <t xml:space="preserve">~8x ARR</t>
  </si>
  <si>
    <t xml:space="preserve">SERIES A POSITIONING ($2M SEED)</t>
  </si>
  <si>
    <t xml:space="preserve">Target ARR at Series A</t>
  </si>
  <si>
    <t xml:space="preserve">$3-4M</t>
  </si>
  <si>
    <t xml:space="preserve">25+ customers</t>
  </si>
  <si>
    <t xml:space="preserve">Expected Series A Raise</t>
  </si>
  <si>
    <t xml:space="preserve">$10-15M</t>
  </si>
  <si>
    <t xml:space="preserve">Based on comps</t>
  </si>
  <si>
    <t xml:space="preserve">Expected Series A Valuation</t>
  </si>
  <si>
    <t xml:space="preserve">$40-60M</t>
  </si>
  <si>
    <t xml:space="preserve">10-15x ARR</t>
  </si>
  <si>
    <t xml:space="preserve">Seed Investor Return (at Series A)</t>
  </si>
  <si>
    <t xml:space="preserve">4-6x</t>
  </si>
  <si>
    <t xml:space="preserve">On $2M at $10M post</t>
  </si>
  <si>
    <t xml:space="preserve">Timeline to Series A</t>
  </si>
  <si>
    <t xml:space="preserve">12-18 months</t>
  </si>
  <si>
    <t xml:space="preserve">From seed close</t>
  </si>
  <si>
    <t xml:space="preserve">24-MONTH MILESTONE ROADMAP</t>
  </si>
  <si>
    <t xml:space="preserve">Team</t>
  </si>
  <si>
    <t xml:space="preserve">Customers</t>
  </si>
  <si>
    <t xml:space="preserve">ARR</t>
  </si>
  <si>
    <t xml:space="preserve">Key Milestone</t>
  </si>
  <si>
    <t xml:space="preserve">Why It Matters</t>
  </si>
  <si>
    <t xml:space="preserve">Q1</t>
  </si>
  <si>
    <t xml:space="preserve">5</t>
  </si>
  <si>
    <t xml:space="preserve">$720K</t>
  </si>
  <si>
    <t xml:space="preserve">First 5 paying customers + 3 case studies</t>
  </si>
  <si>
    <t xml:space="preserve">Proof of demand</t>
  </si>
  <si>
    <t xml:space="preserve">Q2</t>
  </si>
  <si>
    <t xml:space="preserve">12</t>
  </si>
  <si>
    <t xml:space="preserve">$1.7M</t>
  </si>
  <si>
    <t xml:space="preserve">Product-market fit validated</t>
  </si>
  <si>
    <t xml:space="preserve">Repeatable sales motion</t>
  </si>
  <si>
    <t xml:space="preserve">Q3</t>
  </si>
  <si>
    <t xml:space="preserve">Compliance module beta launch</t>
  </si>
  <si>
    <t xml:space="preserve">Expansion revenue</t>
  </si>
  <si>
    <t xml:space="preserve">Q4</t>
  </si>
  <si>
    <t xml:space="preserve">Series A conversations start</t>
  </si>
  <si>
    <t xml:space="preserve">Strong negotiating position</t>
  </si>
  <si>
    <t xml:space="preserve">Y2 Q1</t>
  </si>
  <si>
    <t xml:space="preserve">10</t>
  </si>
  <si>
    <t xml:space="preserve">Series A closed ($10-15M)</t>
  </si>
  <si>
    <t xml:space="preserve">Scale capital secured</t>
  </si>
  <si>
    <t xml:space="preserve">Y2 Q2</t>
  </si>
  <si>
    <t xml:space="preserve">45</t>
  </si>
  <si>
    <t xml:space="preserve">$6.5M</t>
  </si>
  <si>
    <t xml:space="preserve">Enterprise pilots (F500)</t>
  </si>
  <si>
    <t xml:space="preserve">Upmarket validation</t>
  </si>
  <si>
    <t xml:space="preserve">Y2 Q3</t>
  </si>
  <si>
    <t xml:space="preserve">55</t>
  </si>
  <si>
    <t xml:space="preserve">$7.9M</t>
  </si>
  <si>
    <t xml:space="preserve">International expansion</t>
  </si>
  <si>
    <t xml:space="preserve">Geographic scale</t>
  </si>
  <si>
    <t xml:space="preserve">Y2 Q4</t>
  </si>
  <si>
    <t xml:space="preserve">60+</t>
  </si>
  <si>
    <t xml:space="preserve">$8.6M+</t>
  </si>
  <si>
    <t xml:space="preserve">Winner-take-most dynamics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</si>
</sst>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\$#,##0"/>
    <numFmt numFmtId="168" formatCode="\$#,##0;&quot;($&quot;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4E79"/>
      <name val="Cambria"/>
      <family val="0"/>
      <charset val="1"/>
    </font>
    <font>
      <sz val="12"/>
      <color rgb="FF666666"/>
      <name val="Cambria"/>
      <family val="0"/>
      <charset val="1"/>
    </font>
    <font>
      <i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008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8"/>
      <color rgb="FF1F4E7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999999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4"/>
      <color rgb="FF1F4E7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AF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5" min="2" style="0" width="16"/>
  </cols>
  <sheetData>
    <row r="1" customFormat="false" ht="29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4" t="s">
        <v>3</v>
      </c>
      <c r="B6" s="5"/>
      <c r="C6" s="5"/>
      <c r="D6" s="5"/>
      <c r="E6" s="5"/>
    </row>
    <row r="7" customFormat="false" ht="15" hidden="false" customHeight="fals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15" hidden="false" customHeight="false" outlineLevel="0" collapsed="false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</row>
    <row r="9" customFormat="false" ht="15" hidden="false" customHeight="false" outlineLevel="0" collapsed="false">
      <c r="A9" s="7" t="s">
        <v>14</v>
      </c>
      <c r="B9" s="9" t="s">
        <v>15</v>
      </c>
      <c r="C9" s="9" t="s">
        <v>15</v>
      </c>
      <c r="D9" s="9" t="s">
        <v>16</v>
      </c>
      <c r="E9" s="9" t="s">
        <v>16</v>
      </c>
    </row>
    <row r="10" customFormat="false" ht="15" hidden="false" customHeight="false" outlineLevel="0" collapsed="false">
      <c r="A10" s="7" t="s">
        <v>17</v>
      </c>
      <c r="B10" s="9" t="s">
        <v>18</v>
      </c>
      <c r="C10" s="9" t="s">
        <v>18</v>
      </c>
      <c r="D10" s="9" t="s">
        <v>19</v>
      </c>
      <c r="E10" s="9" t="s">
        <v>20</v>
      </c>
    </row>
    <row r="11" customFormat="false" ht="15" hidden="false" customHeight="false" outlineLevel="0" collapsed="false">
      <c r="A11" s="7" t="s">
        <v>21</v>
      </c>
      <c r="B11" s="9" t="s">
        <v>22</v>
      </c>
      <c r="C11" s="9" t="s">
        <v>23</v>
      </c>
      <c r="D11" s="9" t="s">
        <v>24</v>
      </c>
      <c r="E11" s="9" t="s">
        <v>25</v>
      </c>
    </row>
    <row r="12" customFormat="false" ht="15" hidden="false" customHeight="false" outlineLevel="0" collapsed="false">
      <c r="A12" s="7" t="s">
        <v>26</v>
      </c>
      <c r="B12" s="9" t="s">
        <v>27</v>
      </c>
      <c r="C12" s="9" t="s">
        <v>24</v>
      </c>
      <c r="D12" s="9" t="s">
        <v>25</v>
      </c>
      <c r="E12" s="9" t="s">
        <v>28</v>
      </c>
    </row>
    <row r="13" customFormat="false" ht="15" hidden="false" customHeight="false" outlineLevel="0" collapsed="false">
      <c r="A13" s="7" t="s">
        <v>29</v>
      </c>
      <c r="B13" s="9" t="s">
        <v>30</v>
      </c>
      <c r="C13" s="9" t="s">
        <v>31</v>
      </c>
      <c r="D13" s="9" t="s">
        <v>32</v>
      </c>
      <c r="E13" s="9" t="s">
        <v>33</v>
      </c>
    </row>
    <row r="14" customFormat="false" ht="15" hidden="false" customHeight="false" outlineLevel="0" collapsed="false">
      <c r="A14" s="7" t="s">
        <v>34</v>
      </c>
      <c r="B14" s="8" t="s">
        <v>35</v>
      </c>
      <c r="C14" s="8" t="s">
        <v>36</v>
      </c>
      <c r="D14" s="8" t="s">
        <v>37</v>
      </c>
      <c r="E14" s="8" t="s">
        <v>38</v>
      </c>
    </row>
    <row r="15" customFormat="false" ht="15" hidden="false" customHeight="false" outlineLevel="0" collapsed="false">
      <c r="A15" s="7" t="s">
        <v>39</v>
      </c>
      <c r="B15" s="9" t="s">
        <v>40</v>
      </c>
      <c r="C15" s="9" t="s">
        <v>41</v>
      </c>
      <c r="D15" s="9" t="s">
        <v>42</v>
      </c>
      <c r="E15" s="9" t="s">
        <v>43</v>
      </c>
    </row>
    <row r="16" customFormat="false" ht="15" hidden="false" customHeight="false" outlineLevel="0" collapsed="false">
      <c r="A16" s="7" t="s">
        <v>44</v>
      </c>
      <c r="B16" s="8" t="s">
        <v>45</v>
      </c>
      <c r="C16" s="8" t="s">
        <v>46</v>
      </c>
      <c r="D16" s="8" t="s">
        <v>47</v>
      </c>
      <c r="E16" s="8" t="s">
        <v>48</v>
      </c>
    </row>
    <row r="17" customFormat="false" ht="15" hidden="false" customHeight="false" outlineLevel="0" collapsed="false">
      <c r="A17" s="7" t="s">
        <v>49</v>
      </c>
      <c r="B17" s="8" t="s">
        <v>50</v>
      </c>
      <c r="C17" s="8" t="s">
        <v>51</v>
      </c>
      <c r="D17" s="8" t="s">
        <v>52</v>
      </c>
      <c r="E17" s="8" t="s">
        <v>53</v>
      </c>
    </row>
    <row r="20" customFormat="false" ht="17.35" hidden="false" customHeight="false" outlineLevel="0" collapsed="false">
      <c r="A20" s="10" t="s">
        <v>54</v>
      </c>
    </row>
    <row r="22" customFormat="false" ht="15" hidden="false" customHeight="false" outlineLevel="0" collapsed="false">
      <c r="A22" s="4" t="s">
        <v>55</v>
      </c>
      <c r="B22" s="5"/>
      <c r="C22" s="5"/>
      <c r="D22" s="5"/>
    </row>
    <row r="23" customFormat="false" ht="15" hidden="false" customHeight="false" outlineLevel="0" collapsed="false">
      <c r="A23" s="11" t="s">
        <v>56</v>
      </c>
    </row>
    <row r="24" customFormat="false" ht="15" hidden="false" customHeight="false" outlineLevel="0" collapsed="false">
      <c r="A24" s="11" t="s">
        <v>57</v>
      </c>
    </row>
    <row r="25" customFormat="false" ht="15" hidden="false" customHeight="false" outlineLevel="0" collapsed="false">
      <c r="A25" s="11" t="s">
        <v>58</v>
      </c>
    </row>
    <row r="26" customFormat="false" ht="15" hidden="false" customHeight="false" outlineLevel="0" collapsed="false">
      <c r="A26" s="11" t="s">
        <v>59</v>
      </c>
    </row>
    <row r="27" customFormat="false" ht="15" hidden="false" customHeight="false" outlineLevel="0" collapsed="false">
      <c r="A27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5"/>
    <col collapsed="false" customWidth="true" hidden="false" outlineLevel="0" max="5" min="5" style="0" width="18"/>
  </cols>
  <sheetData>
    <row r="1" customFormat="false" ht="22.05" hidden="false" customHeight="false" outlineLevel="0" collapsed="false">
      <c r="A1" s="12" t="s">
        <v>61</v>
      </c>
    </row>
    <row r="2" customFormat="false" ht="15" hidden="false" customHeight="false" outlineLevel="0" collapsed="false">
      <c r="A2" s="13" t="s">
        <v>62</v>
      </c>
    </row>
    <row r="4" customFormat="false" ht="15" hidden="false" customHeight="false" outlineLevel="0" collapsed="false">
      <c r="A4" s="4" t="s">
        <v>63</v>
      </c>
      <c r="B4" s="5"/>
      <c r="C4" s="5"/>
      <c r="D4" s="5"/>
    </row>
    <row r="5" customFormat="false" ht="15" hidden="false" customHeight="false" outlineLevel="0" collapsed="false">
      <c r="A5" s="14" t="s">
        <v>64</v>
      </c>
    </row>
    <row r="6" customFormat="false" ht="15" hidden="false" customHeight="false" outlineLevel="0" collapsed="false">
      <c r="A6" s="14" t="s">
        <v>65</v>
      </c>
    </row>
    <row r="8" customFormat="false" ht="15" hidden="false" customHeight="false" outlineLevel="0" collapsed="false">
      <c r="A8" s="15" t="s">
        <v>66</v>
      </c>
    </row>
    <row r="9" customFormat="false" ht="15" hidden="false" customHeight="false" outlineLevel="0" collapsed="false">
      <c r="A9" s="0" t="s">
        <v>67</v>
      </c>
    </row>
    <row r="11" customFormat="false" ht="15" hidden="false" customHeight="false" outlineLevel="0" collapsed="false">
      <c r="A11" s="15" t="s">
        <v>68</v>
      </c>
    </row>
    <row r="14" customFormat="false" ht="15" hidden="false" customHeight="false" outlineLevel="0" collapsed="false">
      <c r="A14" s="4" t="s">
        <v>69</v>
      </c>
      <c r="B14" s="5"/>
      <c r="C14" s="5"/>
      <c r="D14" s="5"/>
    </row>
    <row r="15" customFormat="false" ht="15" hidden="false" customHeight="false" outlineLevel="0" collapsed="false">
      <c r="A15" s="16" t="s">
        <v>70</v>
      </c>
      <c r="B15" s="16" t="s">
        <v>71</v>
      </c>
      <c r="C15" s="16" t="s">
        <v>72</v>
      </c>
      <c r="D15" s="16" t="s">
        <v>73</v>
      </c>
      <c r="E15" s="16" t="s">
        <v>74</v>
      </c>
    </row>
    <row r="16" customFormat="false" ht="15" hidden="false" customHeight="false" outlineLevel="0" collapsed="false">
      <c r="A16" s="0" t="s">
        <v>75</v>
      </c>
      <c r="B16" s="17" t="n">
        <v>15000</v>
      </c>
      <c r="C16" s="18" t="n">
        <v>0.3</v>
      </c>
      <c r="D16" s="19" t="n">
        <v>144000</v>
      </c>
      <c r="E16" s="20" t="n">
        <f aca="false">B16*C16*D16</f>
        <v>648000000</v>
      </c>
    </row>
    <row r="17" customFormat="false" ht="15" hidden="false" customHeight="false" outlineLevel="0" collapsed="false">
      <c r="A17" s="0" t="s">
        <v>76</v>
      </c>
      <c r="B17" s="17" t="n">
        <v>8000</v>
      </c>
      <c r="C17" s="18" t="n">
        <v>0.25</v>
      </c>
      <c r="D17" s="19" t="n">
        <v>120000</v>
      </c>
      <c r="E17" s="20" t="n">
        <f aca="false">B17*C17*D17</f>
        <v>240000000</v>
      </c>
    </row>
    <row r="18" customFormat="false" ht="15" hidden="false" customHeight="false" outlineLevel="0" collapsed="false">
      <c r="A18" s="0" t="s">
        <v>77</v>
      </c>
      <c r="B18" s="17" t="n">
        <v>5000</v>
      </c>
      <c r="C18" s="18" t="n">
        <v>0.2</v>
      </c>
      <c r="D18" s="19" t="n">
        <v>100000</v>
      </c>
      <c r="E18" s="20" t="n">
        <f aca="false">B18*C18*D18</f>
        <v>100000000</v>
      </c>
    </row>
    <row r="19" customFormat="false" ht="15" hidden="false" customHeight="false" outlineLevel="0" collapsed="false">
      <c r="A19" s="0" t="s">
        <v>78</v>
      </c>
      <c r="B19" s="17" t="n">
        <v>500</v>
      </c>
      <c r="C19" s="18" t="n">
        <v>0.4</v>
      </c>
      <c r="D19" s="19" t="n">
        <v>200000</v>
      </c>
      <c r="E19" s="20" t="n">
        <f aca="false">B19*C19*D19</f>
        <v>40000000</v>
      </c>
    </row>
    <row r="20" customFormat="false" ht="15" hidden="false" customHeight="false" outlineLevel="0" collapsed="false">
      <c r="A20" s="0" t="s">
        <v>79</v>
      </c>
      <c r="B20" s="17" t="n">
        <v>500</v>
      </c>
      <c r="C20" s="18" t="n">
        <v>0.5</v>
      </c>
      <c r="D20" s="19" t="n">
        <v>180000</v>
      </c>
      <c r="E20" s="20" t="n">
        <f aca="false">B20*C20*D20</f>
        <v>45000000</v>
      </c>
    </row>
    <row r="21" customFormat="false" ht="15" hidden="false" customHeight="false" outlineLevel="0" collapsed="false">
      <c r="A21" s="21" t="s">
        <v>80</v>
      </c>
      <c r="B21" s="22"/>
      <c r="C21" s="22"/>
      <c r="D21" s="22"/>
      <c r="E21" s="23" t="n">
        <f aca="false">SUM(E16:E20)</f>
        <v>1073000000</v>
      </c>
    </row>
    <row r="24" customFormat="false" ht="15" hidden="false" customHeight="false" outlineLevel="0" collapsed="false">
      <c r="A24" s="4" t="s">
        <v>81</v>
      </c>
      <c r="B24" s="5"/>
      <c r="C24" s="5"/>
      <c r="D24" s="5"/>
    </row>
    <row r="25" customFormat="false" ht="15" hidden="false" customHeight="false" outlineLevel="0" collapsed="false">
      <c r="A25" s="24" t="s">
        <v>82</v>
      </c>
      <c r="B25" s="20" t="n">
        <f aca="false">E21</f>
        <v>1073000000</v>
      </c>
      <c r="C25" s="13" t="s">
        <v>83</v>
      </c>
    </row>
    <row r="26" customFormat="false" ht="15" hidden="false" customHeight="false" outlineLevel="0" collapsed="false">
      <c r="A26" s="25" t="s">
        <v>84</v>
      </c>
      <c r="B26" s="20" t="n">
        <f aca="false">E21*0.4</f>
        <v>429200000</v>
      </c>
      <c r="C26" s="13" t="s">
        <v>85</v>
      </c>
    </row>
    <row r="27" customFormat="false" ht="15" hidden="false" customHeight="false" outlineLevel="0" collapsed="false">
      <c r="A27" s="25" t="s">
        <v>86</v>
      </c>
      <c r="B27" s="20" t="n">
        <f aca="false">E21*0.01</f>
        <v>10730000</v>
      </c>
      <c r="C27" s="13" t="s">
        <v>87</v>
      </c>
    </row>
    <row r="28" customFormat="false" ht="15" hidden="false" customHeight="false" outlineLevel="0" collapsed="false">
      <c r="A28" s="25" t="s">
        <v>88</v>
      </c>
      <c r="B28" s="20" t="n">
        <f aca="false">E21*0.03</f>
        <v>32190000</v>
      </c>
      <c r="C28" s="13" t="s">
        <v>89</v>
      </c>
    </row>
    <row r="31" customFormat="false" ht="15" hidden="false" customHeight="false" outlineLevel="0" collapsed="false">
      <c r="A31" s="4" t="s">
        <v>90</v>
      </c>
      <c r="B31" s="5"/>
      <c r="C31" s="5"/>
      <c r="D31" s="5"/>
    </row>
    <row r="32" customFormat="false" ht="15" hidden="false" customHeight="false" outlineLevel="0" collapsed="false">
      <c r="A32" s="25" t="s">
        <v>91</v>
      </c>
    </row>
    <row r="33" customFormat="false" ht="15" hidden="false" customHeight="false" outlineLevel="0" collapsed="false">
      <c r="A33" s="25" t="s">
        <v>92</v>
      </c>
    </row>
    <row r="34" customFormat="false" ht="15" hidden="false" customHeight="false" outlineLevel="0" collapsed="false">
      <c r="A34" s="25" t="s">
        <v>93</v>
      </c>
    </row>
    <row r="35" customFormat="false" ht="15" hidden="false" customHeight="false" outlineLevel="0" collapsed="false">
      <c r="A35" s="25" t="s">
        <v>94</v>
      </c>
    </row>
    <row r="36" customFormat="false" ht="15" hidden="false" customHeight="false" outlineLevel="0" collapsed="false">
      <c r="A36" s="25" t="s">
        <v>95</v>
      </c>
    </row>
    <row r="37" customFormat="false" ht="15" hidden="false" customHeight="false" outlineLevel="0" collapsed="false">
      <c r="A37" s="2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25"/>
  </cols>
  <sheetData>
    <row r="1" customFormat="false" ht="22.05" hidden="false" customHeight="false" outlineLevel="0" collapsed="false">
      <c r="A1" s="12" t="s">
        <v>97</v>
      </c>
    </row>
    <row r="2" customFormat="false" ht="15" hidden="false" customHeight="false" outlineLevel="0" collapsed="false">
      <c r="A2" s="13" t="s">
        <v>98</v>
      </c>
    </row>
    <row r="4" customFormat="false" ht="15" hidden="false" customHeight="false" outlineLevel="0" collapsed="false">
      <c r="A4" s="4" t="s">
        <v>99</v>
      </c>
      <c r="B4" s="5"/>
      <c r="C4" s="5"/>
      <c r="D4" s="5"/>
    </row>
    <row r="5" customFormat="false" ht="15" hidden="false" customHeight="false" outlineLevel="0" collapsed="false">
      <c r="A5" s="26" t="s">
        <v>100</v>
      </c>
      <c r="B5" s="26" t="s">
        <v>101</v>
      </c>
      <c r="C5" s="26" t="s">
        <v>102</v>
      </c>
      <c r="D5" s="26" t="s">
        <v>103</v>
      </c>
    </row>
    <row r="6" customFormat="false" ht="15" hidden="false" customHeight="false" outlineLevel="0" collapsed="false">
      <c r="A6" s="27" t="s">
        <v>104</v>
      </c>
      <c r="B6" s="28" t="s">
        <v>105</v>
      </c>
      <c r="C6" s="28" t="s">
        <v>106</v>
      </c>
      <c r="D6" s="28" t="s">
        <v>107</v>
      </c>
    </row>
    <row r="7" customFormat="false" ht="15" hidden="false" customHeight="false" outlineLevel="0" collapsed="false">
      <c r="A7" s="27" t="s">
        <v>108</v>
      </c>
      <c r="B7" s="28" t="s">
        <v>109</v>
      </c>
      <c r="C7" s="28" t="s">
        <v>110</v>
      </c>
      <c r="D7" s="28" t="s">
        <v>111</v>
      </c>
    </row>
    <row r="8" customFormat="false" ht="15" hidden="false" customHeight="false" outlineLevel="0" collapsed="false">
      <c r="A8" s="27" t="s">
        <v>112</v>
      </c>
      <c r="B8" s="28" t="s">
        <v>113</v>
      </c>
      <c r="C8" s="28" t="s">
        <v>114</v>
      </c>
      <c r="D8" s="28" t="s">
        <v>115</v>
      </c>
    </row>
    <row r="9" customFormat="false" ht="15" hidden="false" customHeight="false" outlineLevel="0" collapsed="false">
      <c r="A9" s="27" t="s">
        <v>116</v>
      </c>
      <c r="B9" s="28" t="s">
        <v>117</v>
      </c>
      <c r="C9" s="28" t="s">
        <v>118</v>
      </c>
      <c r="D9" s="28" t="s">
        <v>119</v>
      </c>
    </row>
    <row r="10" customFormat="false" ht="15" hidden="false" customHeight="false" outlineLevel="0" collapsed="false">
      <c r="A10" s="27" t="s">
        <v>120</v>
      </c>
      <c r="B10" s="28" t="s">
        <v>117</v>
      </c>
      <c r="C10" s="28" t="s">
        <v>118</v>
      </c>
      <c r="D10" s="28" t="s">
        <v>119</v>
      </c>
    </row>
    <row r="11" customFormat="false" ht="15" hidden="false" customHeight="false" outlineLevel="0" collapsed="false">
      <c r="A11" s="27" t="s">
        <v>121</v>
      </c>
      <c r="B11" s="28" t="s">
        <v>122</v>
      </c>
      <c r="C11" s="28" t="s">
        <v>123</v>
      </c>
      <c r="D11" s="28" t="s">
        <v>124</v>
      </c>
    </row>
    <row r="14" customFormat="false" ht="15" hidden="false" customHeight="false" outlineLevel="0" collapsed="false">
      <c r="A14" s="4" t="s">
        <v>125</v>
      </c>
      <c r="B14" s="5"/>
      <c r="C14" s="5"/>
      <c r="D14" s="5"/>
      <c r="E14" s="5"/>
    </row>
    <row r="15" customFormat="false" ht="15" hidden="false" customHeight="false" outlineLevel="0" collapsed="false">
      <c r="A15" s="16" t="s">
        <v>126</v>
      </c>
      <c r="B15" s="16" t="s">
        <v>127</v>
      </c>
      <c r="C15" s="16" t="s">
        <v>128</v>
      </c>
      <c r="D15" s="16" t="s">
        <v>129</v>
      </c>
      <c r="E15" s="16" t="s">
        <v>130</v>
      </c>
    </row>
    <row r="16" customFormat="false" ht="15" hidden="false" customHeight="false" outlineLevel="0" collapsed="false">
      <c r="A16" s="0" t="s">
        <v>131</v>
      </c>
      <c r="B16" s="29" t="s">
        <v>19</v>
      </c>
      <c r="C16" s="30" t="s">
        <v>132</v>
      </c>
      <c r="D16" s="29" t="s">
        <v>133</v>
      </c>
      <c r="E16" s="30" t="s">
        <v>134</v>
      </c>
    </row>
    <row r="17" customFormat="false" ht="15" hidden="false" customHeight="false" outlineLevel="0" collapsed="false">
      <c r="A17" s="0" t="s">
        <v>135</v>
      </c>
      <c r="B17" s="29" t="s">
        <v>136</v>
      </c>
      <c r="C17" s="30" t="s">
        <v>137</v>
      </c>
      <c r="D17" s="29" t="s">
        <v>138</v>
      </c>
      <c r="E17" s="30" t="s">
        <v>139</v>
      </c>
    </row>
    <row r="18" customFormat="false" ht="15" hidden="false" customHeight="false" outlineLevel="0" collapsed="false">
      <c r="A18" s="0" t="s">
        <v>140</v>
      </c>
      <c r="B18" s="29" t="s">
        <v>141</v>
      </c>
      <c r="C18" s="30" t="s">
        <v>142</v>
      </c>
      <c r="D18" s="29" t="s">
        <v>143</v>
      </c>
      <c r="E18" s="30" t="s">
        <v>144</v>
      </c>
    </row>
    <row r="19" customFormat="false" ht="15" hidden="false" customHeight="false" outlineLevel="0" collapsed="false">
      <c r="A19" s="0" t="s">
        <v>145</v>
      </c>
      <c r="B19" s="29" t="s">
        <v>136</v>
      </c>
      <c r="C19" s="30" t="s">
        <v>146</v>
      </c>
      <c r="D19" s="29" t="s">
        <v>147</v>
      </c>
      <c r="E19" s="30" t="s">
        <v>148</v>
      </c>
    </row>
    <row r="20" customFormat="false" ht="15" hidden="false" customHeight="false" outlineLevel="0" collapsed="false">
      <c r="A20" s="0" t="s">
        <v>149</v>
      </c>
      <c r="B20" s="29" t="s">
        <v>150</v>
      </c>
      <c r="C20" s="30" t="s">
        <v>30</v>
      </c>
      <c r="D20" s="29" t="s">
        <v>151</v>
      </c>
      <c r="E20" s="30" t="s">
        <v>152</v>
      </c>
    </row>
    <row r="21" customFormat="false" ht="15" hidden="false" customHeight="false" outlineLevel="0" collapsed="false">
      <c r="A21" s="0" t="s">
        <v>153</v>
      </c>
      <c r="B21" s="29" t="s">
        <v>154</v>
      </c>
      <c r="C21" s="30" t="s">
        <v>155</v>
      </c>
      <c r="D21" s="29" t="s">
        <v>156</v>
      </c>
      <c r="E21" s="30" t="s">
        <v>157</v>
      </c>
    </row>
    <row r="24" customFormat="false" ht="15" hidden="false" customHeight="false" outlineLevel="0" collapsed="false">
      <c r="A24" s="4" t="s">
        <v>158</v>
      </c>
      <c r="B24" s="5"/>
      <c r="C24" s="5"/>
    </row>
    <row r="25" customFormat="false" ht="15" hidden="false" customHeight="false" outlineLevel="0" collapsed="false">
      <c r="A25" s="24" t="s">
        <v>159</v>
      </c>
      <c r="B25" s="29" t="s">
        <v>160</v>
      </c>
      <c r="C25" s="30" t="s">
        <v>161</v>
      </c>
    </row>
    <row r="26" customFormat="false" ht="15" hidden="false" customHeight="false" outlineLevel="0" collapsed="false">
      <c r="A26" s="24" t="s">
        <v>162</v>
      </c>
      <c r="B26" s="29" t="s">
        <v>163</v>
      </c>
      <c r="C26" s="30" t="s">
        <v>164</v>
      </c>
    </row>
    <row r="27" customFormat="false" ht="15" hidden="false" customHeight="false" outlineLevel="0" collapsed="false">
      <c r="A27" s="24" t="s">
        <v>165</v>
      </c>
      <c r="B27" s="29" t="s">
        <v>166</v>
      </c>
      <c r="C27" s="30" t="s">
        <v>167</v>
      </c>
    </row>
    <row r="28" customFormat="false" ht="15" hidden="false" customHeight="false" outlineLevel="0" collapsed="false">
      <c r="A28" s="24" t="s">
        <v>168</v>
      </c>
      <c r="B28" s="29" t="s">
        <v>169</v>
      </c>
      <c r="C28" s="30" t="s">
        <v>170</v>
      </c>
    </row>
    <row r="29" customFormat="false" ht="15" hidden="false" customHeight="false" outlineLevel="0" collapsed="false">
      <c r="A29" s="24" t="s">
        <v>171</v>
      </c>
      <c r="B29" s="29" t="s">
        <v>172</v>
      </c>
      <c r="C29" s="30" t="s">
        <v>173</v>
      </c>
    </row>
    <row r="30" customFormat="false" ht="15" hidden="false" customHeight="false" outlineLevel="0" collapsed="false">
      <c r="A30" s="24" t="s">
        <v>174</v>
      </c>
      <c r="B30" s="29" t="s">
        <v>175</v>
      </c>
      <c r="C30" s="30" t="s">
        <v>176</v>
      </c>
    </row>
    <row r="31" customFormat="false" ht="15" hidden="false" customHeight="false" outlineLevel="0" collapsed="false">
      <c r="A31" s="24" t="s">
        <v>177</v>
      </c>
      <c r="B31" s="29" t="s">
        <v>175</v>
      </c>
      <c r="C31" s="30" t="s">
        <v>178</v>
      </c>
    </row>
    <row r="32" customFormat="false" ht="15" hidden="false" customHeight="false" outlineLevel="0" collapsed="false">
      <c r="A32" s="24" t="s">
        <v>179</v>
      </c>
      <c r="B32" s="29" t="s">
        <v>180</v>
      </c>
      <c r="C32" s="30" t="s">
        <v>181</v>
      </c>
    </row>
    <row r="35" customFormat="false" ht="15" hidden="false" customHeight="false" outlineLevel="0" collapsed="false">
      <c r="A35" s="4" t="s">
        <v>182</v>
      </c>
      <c r="B35" s="5"/>
      <c r="C35" s="5"/>
    </row>
    <row r="36" customFormat="false" ht="15" hidden="false" customHeight="false" outlineLevel="0" collapsed="false">
      <c r="A36" s="0" t="s">
        <v>183</v>
      </c>
      <c r="B36" s="31" t="s">
        <v>184</v>
      </c>
      <c r="C36" s="13" t="s">
        <v>185</v>
      </c>
    </row>
    <row r="37" customFormat="false" ht="15" hidden="false" customHeight="false" outlineLevel="0" collapsed="false">
      <c r="A37" s="0" t="s">
        <v>186</v>
      </c>
      <c r="B37" s="31" t="s">
        <v>187</v>
      </c>
      <c r="C37" s="13" t="s">
        <v>188</v>
      </c>
    </row>
    <row r="38" customFormat="false" ht="15" hidden="false" customHeight="false" outlineLevel="0" collapsed="false">
      <c r="A38" s="0" t="s">
        <v>189</v>
      </c>
      <c r="B38" s="31" t="s">
        <v>190</v>
      </c>
      <c r="C38" s="13" t="s">
        <v>191</v>
      </c>
    </row>
    <row r="39" customFormat="false" ht="15" hidden="false" customHeight="false" outlineLevel="0" collapsed="false">
      <c r="A39" s="0" t="s">
        <v>192</v>
      </c>
      <c r="B39" s="31" t="s">
        <v>193</v>
      </c>
      <c r="C39" s="13" t="s">
        <v>194</v>
      </c>
    </row>
    <row r="40" customFormat="false" ht="15" hidden="false" customHeight="false" outlineLevel="0" collapsed="false">
      <c r="A40" s="0" t="s">
        <v>195</v>
      </c>
      <c r="B40" s="31" t="s">
        <v>196</v>
      </c>
      <c r="C40" s="13" t="s">
        <v>197</v>
      </c>
    </row>
    <row r="41" customFormat="false" ht="15" hidden="false" customHeight="false" outlineLevel="0" collapsed="false">
      <c r="A41" s="0" t="s">
        <v>198</v>
      </c>
      <c r="B41" s="31" t="s">
        <v>199</v>
      </c>
      <c r="C41" s="13" t="s">
        <v>200</v>
      </c>
    </row>
    <row r="42" customFormat="false" ht="15" hidden="false" customHeight="false" outlineLevel="0" collapsed="false">
      <c r="A42" s="0" t="s">
        <v>201</v>
      </c>
      <c r="B42" s="31" t="s">
        <v>202</v>
      </c>
      <c r="C42" s="1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5"/>
  </cols>
  <sheetData>
    <row r="1" customFormat="false" ht="22.05" hidden="false" customHeight="false" outlineLevel="0" collapsed="false">
      <c r="A1" s="12" t="s">
        <v>204</v>
      </c>
    </row>
    <row r="3" customFormat="false" ht="15" hidden="false" customHeight="false" outlineLevel="0" collapsed="false">
      <c r="A3" s="4" t="s">
        <v>4</v>
      </c>
      <c r="B3" s="4" t="s">
        <v>205</v>
      </c>
      <c r="C3" s="4" t="s">
        <v>206</v>
      </c>
      <c r="D3" s="4" t="s">
        <v>207</v>
      </c>
      <c r="E3" s="4" t="s">
        <v>208</v>
      </c>
    </row>
    <row r="4" customFormat="false" ht="15" hidden="false" customHeight="false" outlineLevel="0" collapsed="false">
      <c r="A4" s="26" t="s">
        <v>209</v>
      </c>
      <c r="B4" s="32"/>
      <c r="C4" s="32"/>
      <c r="D4" s="32"/>
      <c r="E4" s="32"/>
    </row>
    <row r="5" customFormat="false" ht="15" hidden="false" customHeight="false" outlineLevel="0" collapsed="false">
      <c r="A5" s="27" t="s">
        <v>9</v>
      </c>
      <c r="B5" s="33" t="n">
        <v>500000</v>
      </c>
      <c r="C5" s="33" t="n">
        <v>1000000</v>
      </c>
      <c r="D5" s="33" t="n">
        <v>2000000</v>
      </c>
      <c r="E5" s="33" t="n">
        <v>4000000</v>
      </c>
    </row>
    <row r="6" customFormat="false" ht="15" hidden="false" customHeight="false" outlineLevel="0" collapsed="false">
      <c r="A6" s="27" t="s">
        <v>210</v>
      </c>
      <c r="B6" s="33" t="n">
        <v>2000000</v>
      </c>
      <c r="C6" s="33" t="n">
        <v>4000000</v>
      </c>
      <c r="D6" s="33" t="n">
        <v>8000000</v>
      </c>
      <c r="E6" s="33" t="n">
        <v>12000000</v>
      </c>
    </row>
    <row r="7" customFormat="false" ht="15" hidden="false" customHeight="false" outlineLevel="0" collapsed="false">
      <c r="A7" s="27" t="s">
        <v>211</v>
      </c>
      <c r="B7" s="33" t="n">
        <v>2500000</v>
      </c>
      <c r="C7" s="33" t="n">
        <v>5000000</v>
      </c>
      <c r="D7" s="33" t="n">
        <v>10000000</v>
      </c>
      <c r="E7" s="33" t="n">
        <v>16000000</v>
      </c>
    </row>
    <row r="8" customFormat="false" ht="15" hidden="false" customHeight="false" outlineLevel="0" collapsed="false">
      <c r="A8" s="27" t="s">
        <v>212</v>
      </c>
      <c r="B8" s="9" t="s">
        <v>213</v>
      </c>
      <c r="C8" s="9" t="s">
        <v>213</v>
      </c>
      <c r="D8" s="9" t="s">
        <v>213</v>
      </c>
      <c r="E8" s="9" t="s">
        <v>214</v>
      </c>
    </row>
    <row r="9" customFormat="false" ht="15" hidden="false" customHeight="false" outlineLevel="0" collapsed="false">
      <c r="A9" s="27"/>
    </row>
    <row r="10" customFormat="false" ht="15" hidden="false" customHeight="false" outlineLevel="0" collapsed="false">
      <c r="A10" s="26" t="s">
        <v>215</v>
      </c>
      <c r="B10" s="32"/>
      <c r="C10" s="32"/>
      <c r="D10" s="32"/>
      <c r="E10" s="32"/>
    </row>
    <row r="11" customFormat="false" ht="15" hidden="false" customHeight="false" outlineLevel="0" collapsed="false">
      <c r="A11" s="27" t="s">
        <v>216</v>
      </c>
      <c r="B11" s="9" t="n">
        <v>2</v>
      </c>
      <c r="C11" s="9" t="n">
        <v>2</v>
      </c>
      <c r="D11" s="9" t="n">
        <v>3</v>
      </c>
      <c r="E11" s="9" t="n">
        <v>4</v>
      </c>
    </row>
    <row r="12" customFormat="false" ht="15" hidden="false" customHeight="false" outlineLevel="0" collapsed="false">
      <c r="A12" s="27" t="s">
        <v>217</v>
      </c>
      <c r="B12" s="9" t="n">
        <v>4</v>
      </c>
      <c r="C12" s="9" t="n">
        <v>5</v>
      </c>
      <c r="D12" s="9" t="n">
        <v>8</v>
      </c>
      <c r="E12" s="9" t="n">
        <v>12</v>
      </c>
    </row>
    <row r="13" customFormat="false" ht="15" hidden="false" customHeight="false" outlineLevel="0" collapsed="false">
      <c r="A13" s="27" t="s">
        <v>218</v>
      </c>
      <c r="B13" s="9" t="n">
        <v>6</v>
      </c>
      <c r="C13" s="9" t="n">
        <v>8</v>
      </c>
      <c r="D13" s="9" t="n">
        <v>12</v>
      </c>
      <c r="E13" s="9" t="n">
        <v>18</v>
      </c>
    </row>
    <row r="14" customFormat="false" ht="15" hidden="false" customHeight="false" outlineLevel="0" collapsed="false">
      <c r="A14" s="27" t="s">
        <v>219</v>
      </c>
      <c r="B14" s="33" t="n">
        <v>25000</v>
      </c>
      <c r="C14" s="33" t="n">
        <v>32000</v>
      </c>
      <c r="D14" s="33" t="n">
        <v>45000</v>
      </c>
      <c r="E14" s="33" t="n">
        <v>75000</v>
      </c>
    </row>
    <row r="15" customFormat="false" ht="15" hidden="false" customHeight="false" outlineLevel="0" collapsed="false">
      <c r="A15" s="27"/>
    </row>
    <row r="16" customFormat="false" ht="15" hidden="false" customHeight="false" outlineLevel="0" collapsed="false">
      <c r="A16" s="26" t="s">
        <v>220</v>
      </c>
      <c r="B16" s="32"/>
      <c r="C16" s="32"/>
      <c r="D16" s="32"/>
      <c r="E16" s="32"/>
    </row>
    <row r="17" customFormat="false" ht="15" hidden="false" customHeight="false" outlineLevel="0" collapsed="false">
      <c r="A17" s="27" t="s">
        <v>29</v>
      </c>
      <c r="B17" s="9" t="n">
        <v>8</v>
      </c>
      <c r="C17" s="9" t="n">
        <v>15</v>
      </c>
      <c r="D17" s="9" t="n">
        <v>25</v>
      </c>
      <c r="E17" s="9" t="n">
        <v>40</v>
      </c>
    </row>
    <row r="18" customFormat="false" ht="15" hidden="false" customHeight="false" outlineLevel="0" collapsed="false">
      <c r="A18" s="27" t="s">
        <v>39</v>
      </c>
      <c r="B18" s="9" t="n">
        <v>18</v>
      </c>
      <c r="C18" s="9" t="n">
        <v>35</v>
      </c>
      <c r="D18" s="9" t="n">
        <v>60</v>
      </c>
      <c r="E18" s="9" t="n">
        <v>100</v>
      </c>
    </row>
    <row r="19" customFormat="false" ht="15" hidden="false" customHeight="false" outlineLevel="0" collapsed="false">
      <c r="A19" s="27" t="s">
        <v>221</v>
      </c>
      <c r="B19" s="33" t="n">
        <v>96000</v>
      </c>
      <c r="C19" s="33" t="n">
        <v>180000</v>
      </c>
      <c r="D19" s="33" t="n">
        <v>300000</v>
      </c>
      <c r="E19" s="33" t="n">
        <v>480000</v>
      </c>
    </row>
    <row r="20" customFormat="false" ht="15" hidden="false" customHeight="false" outlineLevel="0" collapsed="false">
      <c r="A20" s="27" t="s">
        <v>34</v>
      </c>
      <c r="B20" s="33" t="n">
        <v>1152000</v>
      </c>
      <c r="C20" s="33" t="n">
        <v>2160000</v>
      </c>
      <c r="D20" s="33" t="n">
        <v>3600000</v>
      </c>
      <c r="E20" s="33" t="n">
        <v>5760000</v>
      </c>
    </row>
    <row r="21" customFormat="false" ht="15" hidden="false" customHeight="false" outlineLevel="0" collapsed="false">
      <c r="A21" s="27" t="s">
        <v>44</v>
      </c>
      <c r="B21" s="33" t="n">
        <v>2592000</v>
      </c>
      <c r="C21" s="33" t="n">
        <v>5040000</v>
      </c>
      <c r="D21" s="33" t="n">
        <v>8640000</v>
      </c>
      <c r="E21" s="33" t="n">
        <v>14400000</v>
      </c>
    </row>
    <row r="22" customFormat="false" ht="15" hidden="false" customHeight="false" outlineLevel="0" collapsed="false">
      <c r="A22" s="27"/>
    </row>
    <row r="23" customFormat="false" ht="15" hidden="false" customHeight="false" outlineLevel="0" collapsed="false">
      <c r="A23" s="26" t="s">
        <v>222</v>
      </c>
      <c r="B23" s="32"/>
      <c r="C23" s="32"/>
      <c r="D23" s="32"/>
      <c r="E23" s="32"/>
    </row>
    <row r="24" customFormat="false" ht="15" hidden="false" customHeight="false" outlineLevel="0" collapsed="false">
      <c r="A24" s="27" t="s">
        <v>223</v>
      </c>
      <c r="B24" s="9" t="s">
        <v>224</v>
      </c>
      <c r="C24" s="9" t="s">
        <v>225</v>
      </c>
      <c r="D24" s="9" t="s">
        <v>226</v>
      </c>
      <c r="E24" s="9" t="s">
        <v>226</v>
      </c>
    </row>
    <row r="25" customFormat="false" ht="15" hidden="false" customHeight="false" outlineLevel="0" collapsed="false">
      <c r="A25" s="27" t="s">
        <v>49</v>
      </c>
      <c r="B25" s="9" t="s">
        <v>227</v>
      </c>
      <c r="C25" s="9" t="s">
        <v>228</v>
      </c>
      <c r="D25" s="9" t="s">
        <v>229</v>
      </c>
      <c r="E25" s="9" t="s">
        <v>230</v>
      </c>
    </row>
    <row r="26" customFormat="false" ht="15" hidden="false" customHeight="false" outlineLevel="0" collapsed="false">
      <c r="A26" s="27" t="s">
        <v>231</v>
      </c>
      <c r="B26" s="9" t="s">
        <v>232</v>
      </c>
      <c r="C26" s="9" t="s">
        <v>233</v>
      </c>
      <c r="D26" s="9" t="s">
        <v>234</v>
      </c>
      <c r="E26" s="9" t="s">
        <v>234</v>
      </c>
    </row>
    <row r="27" customFormat="false" ht="15" hidden="false" customHeight="false" outlineLevel="0" collapsed="false">
      <c r="A27" s="27" t="s">
        <v>235</v>
      </c>
      <c r="B27" s="9" t="s">
        <v>236</v>
      </c>
      <c r="C27" s="9" t="s">
        <v>237</v>
      </c>
      <c r="D27" s="9" t="s">
        <v>238</v>
      </c>
      <c r="E27" s="9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9"/>
  </cols>
  <sheetData>
    <row r="1" customFormat="false" ht="17.35" hidden="false" customHeight="false" outlineLevel="0" collapsed="false">
      <c r="A1" s="34" t="s">
        <v>240</v>
      </c>
    </row>
    <row r="3" customFormat="false" ht="15" hidden="false" customHeight="false" outlineLevel="0" collapsed="false">
      <c r="A3" s="4" t="s">
        <v>241</v>
      </c>
      <c r="B3" s="35" t="s">
        <v>242</v>
      </c>
      <c r="C3" s="35" t="s">
        <v>243</v>
      </c>
      <c r="D3" s="35" t="s">
        <v>244</v>
      </c>
      <c r="E3" s="35" t="s">
        <v>245</v>
      </c>
      <c r="F3" s="35" t="s">
        <v>246</v>
      </c>
      <c r="G3" s="35" t="s">
        <v>247</v>
      </c>
      <c r="H3" s="35" t="s">
        <v>248</v>
      </c>
      <c r="I3" s="35" t="s">
        <v>249</v>
      </c>
      <c r="J3" s="35" t="s">
        <v>250</v>
      </c>
      <c r="K3" s="35" t="s">
        <v>251</v>
      </c>
      <c r="L3" s="35" t="s">
        <v>252</v>
      </c>
      <c r="M3" s="35" t="s">
        <v>253</v>
      </c>
      <c r="N3" s="35" t="s">
        <v>254</v>
      </c>
      <c r="O3" s="35" t="s">
        <v>255</v>
      </c>
      <c r="P3" s="35" t="s">
        <v>256</v>
      </c>
      <c r="Q3" s="35" t="s">
        <v>257</v>
      </c>
      <c r="R3" s="35" t="s">
        <v>258</v>
      </c>
      <c r="S3" s="35" t="s">
        <v>259</v>
      </c>
      <c r="T3" s="35" t="s">
        <v>260</v>
      </c>
      <c r="U3" s="35" t="s">
        <v>261</v>
      </c>
      <c r="V3" s="35" t="s">
        <v>262</v>
      </c>
      <c r="W3" s="35" t="s">
        <v>263</v>
      </c>
      <c r="X3" s="35" t="s">
        <v>264</v>
      </c>
      <c r="Y3" s="35" t="s">
        <v>265</v>
      </c>
      <c r="Z3" s="4" t="s">
        <v>266</v>
      </c>
    </row>
    <row r="4" customFormat="false" ht="15" hidden="false" customHeight="false" outlineLevel="0" collapsed="false">
      <c r="A4" s="36" t="s">
        <v>267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Format="false" ht="15" hidden="false" customHeight="false" outlineLevel="0" collapsed="false">
      <c r="A5" s="0" t="s">
        <v>268</v>
      </c>
      <c r="B5" s="29" t="n">
        <v>1</v>
      </c>
      <c r="C5" s="29" t="n">
        <v>2</v>
      </c>
      <c r="D5" s="29" t="n">
        <v>2</v>
      </c>
      <c r="E5" s="29" t="n">
        <v>2</v>
      </c>
      <c r="F5" s="29" t="n">
        <v>2</v>
      </c>
      <c r="G5" s="29" t="n">
        <v>2</v>
      </c>
      <c r="H5" s="29" t="n">
        <v>2</v>
      </c>
      <c r="I5" s="29" t="n">
        <v>2</v>
      </c>
      <c r="J5" s="29" t="n">
        <v>2</v>
      </c>
      <c r="K5" s="29" t="n">
        <v>2</v>
      </c>
      <c r="L5" s="29" t="n">
        <v>2</v>
      </c>
      <c r="M5" s="29" t="n">
        <v>2</v>
      </c>
      <c r="N5" s="29" t="n">
        <v>3</v>
      </c>
      <c r="O5" s="29" t="n">
        <v>3</v>
      </c>
      <c r="P5" s="29" t="n">
        <v>3</v>
      </c>
      <c r="Q5" s="29" t="n">
        <v>3</v>
      </c>
      <c r="R5" s="29" t="n">
        <v>3</v>
      </c>
      <c r="S5" s="29" t="n">
        <v>3</v>
      </c>
      <c r="T5" s="29" t="n">
        <v>3</v>
      </c>
      <c r="U5" s="29" t="n">
        <v>3</v>
      </c>
      <c r="V5" s="29" t="n">
        <v>3</v>
      </c>
      <c r="W5" s="29" t="n">
        <v>3</v>
      </c>
      <c r="X5" s="29" t="n">
        <v>3</v>
      </c>
      <c r="Y5" s="29" t="n">
        <v>3</v>
      </c>
      <c r="Z5" s="24" t="n">
        <f aca="false">SUM(B5:Y5)</f>
        <v>59</v>
      </c>
    </row>
    <row r="6" customFormat="false" ht="15" hidden="false" customHeight="false" outlineLevel="0" collapsed="false">
      <c r="A6" s="0" t="s">
        <v>269</v>
      </c>
      <c r="B6" s="25" t="n">
        <f aca="false">B5</f>
        <v>1</v>
      </c>
      <c r="C6" s="25" t="n">
        <f aca="false">B6+C5</f>
        <v>3</v>
      </c>
      <c r="D6" s="25" t="n">
        <f aca="false">C6+D5</f>
        <v>5</v>
      </c>
      <c r="E6" s="25" t="n">
        <f aca="false">D6+E5</f>
        <v>7</v>
      </c>
      <c r="F6" s="25" t="n">
        <f aca="false">E6+F5</f>
        <v>9</v>
      </c>
      <c r="G6" s="25" t="n">
        <f aca="false">F6+G5</f>
        <v>11</v>
      </c>
      <c r="H6" s="25" t="n">
        <f aca="false">G6+H5</f>
        <v>13</v>
      </c>
      <c r="I6" s="25" t="n">
        <f aca="false">H6+I5</f>
        <v>15</v>
      </c>
      <c r="J6" s="25" t="n">
        <f aca="false">I6+J5</f>
        <v>17</v>
      </c>
      <c r="K6" s="25" t="n">
        <f aca="false">J6+K5</f>
        <v>19</v>
      </c>
      <c r="L6" s="25" t="n">
        <f aca="false">K6+L5</f>
        <v>21</v>
      </c>
      <c r="M6" s="25" t="n">
        <f aca="false">L6+M5</f>
        <v>23</v>
      </c>
      <c r="N6" s="25" t="n">
        <f aca="false">M6+N5</f>
        <v>26</v>
      </c>
      <c r="O6" s="25" t="n">
        <f aca="false">N6+O5</f>
        <v>29</v>
      </c>
      <c r="P6" s="25" t="n">
        <f aca="false">O6+P5</f>
        <v>32</v>
      </c>
      <c r="Q6" s="25" t="n">
        <f aca="false">P6+Q5</f>
        <v>35</v>
      </c>
      <c r="R6" s="25" t="n">
        <f aca="false">Q6+R5</f>
        <v>38</v>
      </c>
      <c r="S6" s="25" t="n">
        <f aca="false">R6+S5</f>
        <v>41</v>
      </c>
      <c r="T6" s="25" t="n">
        <f aca="false">S6+T5</f>
        <v>44</v>
      </c>
      <c r="U6" s="25" t="n">
        <f aca="false">T6+U5</f>
        <v>47</v>
      </c>
      <c r="V6" s="25" t="n">
        <f aca="false">U6+V5</f>
        <v>50</v>
      </c>
      <c r="W6" s="25" t="n">
        <f aca="false">V6+W5</f>
        <v>53</v>
      </c>
      <c r="X6" s="25" t="n">
        <f aca="false">W6+X5</f>
        <v>56</v>
      </c>
      <c r="Y6" s="25" t="n">
        <f aca="false">X6+Y5</f>
        <v>59</v>
      </c>
      <c r="Z6" s="24" t="n">
        <f aca="false">Y6</f>
        <v>59</v>
      </c>
    </row>
    <row r="7" customFormat="false" ht="15" hidden="false" customHeight="false" outlineLevel="0" collapsed="false">
      <c r="A7" s="0" t="s">
        <v>270</v>
      </c>
      <c r="B7" s="20" t="n">
        <f aca="false">B6*12000</f>
        <v>12000</v>
      </c>
      <c r="C7" s="20" t="n">
        <f aca="false">C6*12000</f>
        <v>36000</v>
      </c>
      <c r="D7" s="20" t="n">
        <f aca="false">D6*12000</f>
        <v>60000</v>
      </c>
      <c r="E7" s="20" t="n">
        <f aca="false">E6*12000</f>
        <v>84000</v>
      </c>
      <c r="F7" s="20" t="n">
        <f aca="false">F6*12000</f>
        <v>108000</v>
      </c>
      <c r="G7" s="20" t="n">
        <f aca="false">G6*12000</f>
        <v>132000</v>
      </c>
      <c r="H7" s="20" t="n">
        <f aca="false">H6*12000</f>
        <v>156000</v>
      </c>
      <c r="I7" s="20" t="n">
        <f aca="false">I6*12000</f>
        <v>180000</v>
      </c>
      <c r="J7" s="20" t="n">
        <f aca="false">J6*12000</f>
        <v>204000</v>
      </c>
      <c r="K7" s="20" t="n">
        <f aca="false">K6*12000</f>
        <v>228000</v>
      </c>
      <c r="L7" s="20" t="n">
        <f aca="false">L6*12000</f>
        <v>252000</v>
      </c>
      <c r="M7" s="20" t="n">
        <f aca="false">M6*12000</f>
        <v>276000</v>
      </c>
      <c r="N7" s="20" t="n">
        <f aca="false">N6*12000</f>
        <v>312000</v>
      </c>
      <c r="O7" s="20" t="n">
        <f aca="false">O6*12000</f>
        <v>348000</v>
      </c>
      <c r="P7" s="20" t="n">
        <f aca="false">P6*12000</f>
        <v>384000</v>
      </c>
      <c r="Q7" s="20" t="n">
        <f aca="false">Q6*12000</f>
        <v>420000</v>
      </c>
      <c r="R7" s="20" t="n">
        <f aca="false">R6*12000</f>
        <v>456000</v>
      </c>
      <c r="S7" s="20" t="n">
        <f aca="false">S6*12000</f>
        <v>492000</v>
      </c>
      <c r="T7" s="20" t="n">
        <f aca="false">T6*12000</f>
        <v>528000</v>
      </c>
      <c r="U7" s="20" t="n">
        <f aca="false">U6*12000</f>
        <v>564000</v>
      </c>
      <c r="V7" s="20" t="n">
        <f aca="false">V6*12000</f>
        <v>600000</v>
      </c>
      <c r="W7" s="20" t="n">
        <f aca="false">W6*12000</f>
        <v>636000</v>
      </c>
      <c r="X7" s="20" t="n">
        <f aca="false">X6*12000</f>
        <v>672000</v>
      </c>
      <c r="Y7" s="20" t="n">
        <f aca="false">Y6*12000</f>
        <v>708000</v>
      </c>
      <c r="Z7" s="38" t="n">
        <f aca="false">SUM(B7:Y7)</f>
        <v>7848000</v>
      </c>
    </row>
    <row r="9" customFormat="false" ht="15" hidden="false" customHeight="false" outlineLevel="0" collapsed="false">
      <c r="A9" s="39" t="s">
        <v>271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customFormat="false" ht="15" hidden="false" customHeight="false" outlineLevel="0" collapsed="false">
      <c r="A10" s="0" t="s">
        <v>272</v>
      </c>
      <c r="B10" s="19" t="n">
        <v>19500</v>
      </c>
      <c r="C10" s="19" t="n">
        <v>19500</v>
      </c>
      <c r="D10" s="19" t="n">
        <v>19500</v>
      </c>
      <c r="E10" s="19" t="n">
        <v>26000</v>
      </c>
      <c r="F10" s="19" t="n">
        <v>26000</v>
      </c>
      <c r="G10" s="19" t="n">
        <v>32500</v>
      </c>
      <c r="H10" s="19" t="n">
        <v>39000</v>
      </c>
      <c r="I10" s="19" t="n">
        <v>39000</v>
      </c>
      <c r="J10" s="19" t="n">
        <v>45500</v>
      </c>
      <c r="K10" s="19" t="n">
        <v>45500</v>
      </c>
      <c r="L10" s="19" t="n">
        <v>52000</v>
      </c>
      <c r="M10" s="19" t="n">
        <v>52000</v>
      </c>
      <c r="N10" s="19" t="n">
        <v>52000</v>
      </c>
      <c r="O10" s="19" t="n">
        <v>58500</v>
      </c>
      <c r="P10" s="19" t="n">
        <v>58500</v>
      </c>
      <c r="Q10" s="19" t="n">
        <v>65000</v>
      </c>
      <c r="R10" s="19" t="n">
        <v>65000</v>
      </c>
      <c r="S10" s="19" t="n">
        <v>65000</v>
      </c>
      <c r="T10" s="19" t="n">
        <v>71500</v>
      </c>
      <c r="U10" s="19" t="n">
        <v>71500</v>
      </c>
      <c r="V10" s="19" t="n">
        <v>78000</v>
      </c>
      <c r="W10" s="19" t="n">
        <v>78000</v>
      </c>
      <c r="X10" s="19" t="n">
        <v>78000</v>
      </c>
      <c r="Y10" s="19" t="n">
        <v>78000</v>
      </c>
    </row>
    <row r="11" customFormat="false" ht="15" hidden="false" customHeight="false" outlineLevel="0" collapsed="false">
      <c r="A11" s="0" t="s">
        <v>273</v>
      </c>
      <c r="B11" s="20" t="n">
        <f aca="false">B7*0.1</f>
        <v>1200</v>
      </c>
      <c r="C11" s="20" t="n">
        <f aca="false">C7*0.1</f>
        <v>3600</v>
      </c>
      <c r="D11" s="20" t="n">
        <f aca="false">D7*0.1</f>
        <v>6000</v>
      </c>
      <c r="E11" s="20" t="n">
        <f aca="false">E7*0.1</f>
        <v>8400</v>
      </c>
      <c r="F11" s="20" t="n">
        <f aca="false">F7*0.1</f>
        <v>10800</v>
      </c>
      <c r="G11" s="20" t="n">
        <f aca="false">G7*0.1</f>
        <v>13200</v>
      </c>
      <c r="H11" s="20" t="n">
        <f aca="false">H7*0.1</f>
        <v>15600</v>
      </c>
      <c r="I11" s="20" t="n">
        <f aca="false">I7*0.1</f>
        <v>18000</v>
      </c>
      <c r="J11" s="20" t="n">
        <f aca="false">J7*0.1</f>
        <v>20400</v>
      </c>
      <c r="K11" s="20" t="n">
        <f aca="false">K7*0.1</f>
        <v>22800</v>
      </c>
      <c r="L11" s="20" t="n">
        <f aca="false">L7*0.1</f>
        <v>25200</v>
      </c>
      <c r="M11" s="20" t="n">
        <f aca="false">M7*0.1</f>
        <v>27600</v>
      </c>
      <c r="N11" s="20" t="n">
        <f aca="false">N7*0.1</f>
        <v>31200</v>
      </c>
      <c r="O11" s="20" t="n">
        <f aca="false">O7*0.1</f>
        <v>34800</v>
      </c>
      <c r="P11" s="20" t="n">
        <f aca="false">P7*0.1</f>
        <v>38400</v>
      </c>
      <c r="Q11" s="20" t="n">
        <f aca="false">Q7*0.1</f>
        <v>42000</v>
      </c>
      <c r="R11" s="20" t="n">
        <f aca="false">R7*0.1</f>
        <v>45600</v>
      </c>
      <c r="S11" s="20" t="n">
        <f aca="false">S7*0.1</f>
        <v>49200</v>
      </c>
      <c r="T11" s="20" t="n">
        <f aca="false">T7*0.1</f>
        <v>52800</v>
      </c>
      <c r="U11" s="20" t="n">
        <f aca="false">U7*0.1</f>
        <v>56400</v>
      </c>
      <c r="V11" s="20" t="n">
        <f aca="false">V7*0.1</f>
        <v>60000</v>
      </c>
      <c r="W11" s="20" t="n">
        <f aca="false">W7*0.1</f>
        <v>63600</v>
      </c>
      <c r="X11" s="20" t="n">
        <f aca="false">X7*0.1</f>
        <v>67200</v>
      </c>
      <c r="Y11" s="20" t="n">
        <f aca="false">Y7*0.1</f>
        <v>70800</v>
      </c>
    </row>
    <row r="12" customFormat="false" ht="15" hidden="false" customHeight="false" outlineLevel="0" collapsed="false">
      <c r="A12" s="0" t="s">
        <v>274</v>
      </c>
      <c r="B12" s="19" t="n">
        <v>1000</v>
      </c>
      <c r="C12" s="19" t="n">
        <v>1200</v>
      </c>
      <c r="D12" s="19" t="n">
        <v>1400</v>
      </c>
      <c r="E12" s="19" t="n">
        <v>1600</v>
      </c>
      <c r="F12" s="19" t="n">
        <v>1800</v>
      </c>
      <c r="G12" s="19" t="n">
        <v>2000</v>
      </c>
      <c r="H12" s="19" t="n">
        <v>2200</v>
      </c>
      <c r="I12" s="19" t="n">
        <v>2400</v>
      </c>
      <c r="J12" s="19" t="n">
        <v>2600</v>
      </c>
      <c r="K12" s="19" t="n">
        <v>2800</v>
      </c>
      <c r="L12" s="19" t="n">
        <v>3000</v>
      </c>
      <c r="M12" s="19" t="n">
        <v>3200</v>
      </c>
      <c r="N12" s="19" t="n">
        <v>3400</v>
      </c>
      <c r="O12" s="19" t="n">
        <v>3600</v>
      </c>
      <c r="P12" s="19" t="n">
        <v>3800</v>
      </c>
      <c r="Q12" s="19" t="n">
        <v>4000</v>
      </c>
      <c r="R12" s="19" t="n">
        <v>4200</v>
      </c>
      <c r="S12" s="19" t="n">
        <v>4400</v>
      </c>
      <c r="T12" s="19" t="n">
        <v>4600</v>
      </c>
      <c r="U12" s="19" t="n">
        <v>4800</v>
      </c>
      <c r="V12" s="19" t="n">
        <v>5000</v>
      </c>
      <c r="W12" s="19" t="n">
        <v>5000</v>
      </c>
      <c r="X12" s="19" t="n">
        <v>5000</v>
      </c>
      <c r="Y12" s="19" t="n">
        <v>5000</v>
      </c>
    </row>
    <row r="13" customFormat="false" ht="15" hidden="false" customHeight="false" outlineLevel="0" collapsed="false">
      <c r="A13" s="0" t="s">
        <v>275</v>
      </c>
      <c r="B13" s="19" t="n">
        <v>500</v>
      </c>
      <c r="C13" s="19" t="n">
        <v>500</v>
      </c>
      <c r="D13" s="19" t="n">
        <v>500</v>
      </c>
      <c r="E13" s="19" t="n">
        <v>500</v>
      </c>
      <c r="F13" s="19" t="n">
        <v>500</v>
      </c>
      <c r="G13" s="19" t="n">
        <v>500</v>
      </c>
      <c r="H13" s="19" t="n">
        <v>700</v>
      </c>
      <c r="I13" s="19" t="n">
        <v>700</v>
      </c>
      <c r="J13" s="19" t="n">
        <v>700</v>
      </c>
      <c r="K13" s="19" t="n">
        <v>700</v>
      </c>
      <c r="L13" s="19" t="n">
        <v>700</v>
      </c>
      <c r="M13" s="19" t="n">
        <v>700</v>
      </c>
      <c r="N13" s="19" t="n">
        <v>900</v>
      </c>
      <c r="O13" s="19" t="n">
        <v>900</v>
      </c>
      <c r="P13" s="19" t="n">
        <v>900</v>
      </c>
      <c r="Q13" s="19" t="n">
        <v>900</v>
      </c>
      <c r="R13" s="19" t="n">
        <v>900</v>
      </c>
      <c r="S13" s="19" t="n">
        <v>900</v>
      </c>
      <c r="T13" s="19" t="n">
        <v>1100</v>
      </c>
      <c r="U13" s="19" t="n">
        <v>1100</v>
      </c>
      <c r="V13" s="19" t="n">
        <v>1100</v>
      </c>
      <c r="W13" s="19" t="n">
        <v>1100</v>
      </c>
      <c r="X13" s="19" t="n">
        <v>1100</v>
      </c>
      <c r="Y13" s="19" t="n">
        <v>1100</v>
      </c>
    </row>
    <row r="14" customFormat="false" ht="15" hidden="false" customHeight="false" outlineLevel="0" collapsed="false">
      <c r="A14" s="0" t="s">
        <v>276</v>
      </c>
      <c r="B14" s="19" t="n">
        <v>1500</v>
      </c>
      <c r="C14" s="19" t="n">
        <v>1500</v>
      </c>
      <c r="D14" s="19" t="n">
        <v>1500</v>
      </c>
      <c r="E14" s="19" t="n">
        <v>500</v>
      </c>
      <c r="F14" s="19" t="n">
        <v>500</v>
      </c>
      <c r="G14" s="19" t="n">
        <v>500</v>
      </c>
      <c r="H14" s="19" t="n">
        <v>500</v>
      </c>
      <c r="I14" s="19" t="n">
        <v>500</v>
      </c>
      <c r="J14" s="19" t="n">
        <v>500</v>
      </c>
      <c r="K14" s="19" t="n">
        <v>500</v>
      </c>
      <c r="L14" s="19" t="n">
        <v>500</v>
      </c>
      <c r="M14" s="19" t="n">
        <v>500</v>
      </c>
      <c r="N14" s="19" t="n">
        <v>500</v>
      </c>
      <c r="O14" s="19" t="n">
        <v>500</v>
      </c>
      <c r="P14" s="19" t="n">
        <v>500</v>
      </c>
      <c r="Q14" s="19" t="n">
        <v>500</v>
      </c>
      <c r="R14" s="19" t="n">
        <v>500</v>
      </c>
      <c r="S14" s="19" t="n">
        <v>500</v>
      </c>
      <c r="T14" s="19" t="n">
        <v>500</v>
      </c>
      <c r="U14" s="19" t="n">
        <v>500</v>
      </c>
      <c r="V14" s="19" t="n">
        <v>500</v>
      </c>
      <c r="W14" s="19" t="n">
        <v>500</v>
      </c>
      <c r="X14" s="19" t="n">
        <v>500</v>
      </c>
      <c r="Y14" s="19" t="n">
        <v>500</v>
      </c>
    </row>
    <row r="15" customFormat="false" ht="15" hidden="false" customHeight="false" outlineLevel="0" collapsed="false">
      <c r="A15" s="0" t="s">
        <v>277</v>
      </c>
      <c r="B15" s="19" t="n">
        <v>1000</v>
      </c>
      <c r="C15" s="19" t="n">
        <v>1000</v>
      </c>
      <c r="D15" s="19" t="n">
        <v>1000</v>
      </c>
      <c r="E15" s="19" t="n">
        <v>1000</v>
      </c>
      <c r="F15" s="19" t="n">
        <v>1000</v>
      </c>
      <c r="G15" s="19" t="n">
        <v>1000</v>
      </c>
      <c r="H15" s="19" t="n">
        <v>1000</v>
      </c>
      <c r="I15" s="19" t="n">
        <v>1000</v>
      </c>
      <c r="J15" s="19" t="n">
        <v>1000</v>
      </c>
      <c r="K15" s="19" t="n">
        <v>1000</v>
      </c>
      <c r="L15" s="19" t="n">
        <v>1000</v>
      </c>
      <c r="M15" s="19" t="n">
        <v>1000</v>
      </c>
      <c r="N15" s="19" t="n">
        <v>1000</v>
      </c>
      <c r="O15" s="19" t="n">
        <v>1000</v>
      </c>
      <c r="P15" s="19" t="n">
        <v>1000</v>
      </c>
      <c r="Q15" s="19" t="n">
        <v>1000</v>
      </c>
      <c r="R15" s="19" t="n">
        <v>1000</v>
      </c>
      <c r="S15" s="19" t="n">
        <v>1000</v>
      </c>
      <c r="T15" s="19" t="n">
        <v>1000</v>
      </c>
      <c r="U15" s="19" t="n">
        <v>1000</v>
      </c>
      <c r="V15" s="19" t="n">
        <v>1000</v>
      </c>
      <c r="W15" s="19" t="n">
        <v>1000</v>
      </c>
      <c r="X15" s="19" t="n">
        <v>1000</v>
      </c>
      <c r="Y15" s="19" t="n">
        <v>1000</v>
      </c>
    </row>
    <row r="16" customFormat="false" ht="15" hidden="false" customHeight="false" outlineLevel="0" collapsed="false">
      <c r="A16" s="21" t="s">
        <v>278</v>
      </c>
      <c r="B16" s="23" t="n">
        <f aca="false">SUM(B10:B15)</f>
        <v>24700</v>
      </c>
      <c r="C16" s="23" t="n">
        <f aca="false">SUM(C10:C15)</f>
        <v>27300</v>
      </c>
      <c r="D16" s="23" t="n">
        <f aca="false">SUM(D10:D15)</f>
        <v>29900</v>
      </c>
      <c r="E16" s="23" t="n">
        <f aca="false">SUM(E10:E15)</f>
        <v>38000</v>
      </c>
      <c r="F16" s="23" t="n">
        <f aca="false">SUM(F10:F15)</f>
        <v>40600</v>
      </c>
      <c r="G16" s="23" t="n">
        <f aca="false">SUM(G10:G15)</f>
        <v>49700</v>
      </c>
      <c r="H16" s="23" t="n">
        <f aca="false">SUM(H10:H15)</f>
        <v>59000</v>
      </c>
      <c r="I16" s="23" t="n">
        <f aca="false">SUM(I10:I15)</f>
        <v>61600</v>
      </c>
      <c r="J16" s="23" t="n">
        <f aca="false">SUM(J10:J15)</f>
        <v>70700</v>
      </c>
      <c r="K16" s="23" t="n">
        <f aca="false">SUM(K10:K15)</f>
        <v>73300</v>
      </c>
      <c r="L16" s="23" t="n">
        <f aca="false">SUM(L10:L15)</f>
        <v>82400</v>
      </c>
      <c r="M16" s="23" t="n">
        <f aca="false">SUM(M10:M15)</f>
        <v>85000</v>
      </c>
      <c r="N16" s="23" t="n">
        <f aca="false">SUM(N10:N15)</f>
        <v>89000</v>
      </c>
      <c r="O16" s="23" t="n">
        <f aca="false">SUM(O10:O15)</f>
        <v>99300</v>
      </c>
      <c r="P16" s="23" t="n">
        <f aca="false">SUM(P10:P15)</f>
        <v>103100</v>
      </c>
      <c r="Q16" s="23" t="n">
        <f aca="false">SUM(Q10:Q15)</f>
        <v>113400</v>
      </c>
      <c r="R16" s="23" t="n">
        <f aca="false">SUM(R10:R15)</f>
        <v>117200</v>
      </c>
      <c r="S16" s="23" t="n">
        <f aca="false">SUM(S10:S15)</f>
        <v>121000</v>
      </c>
      <c r="T16" s="23" t="n">
        <f aca="false">SUM(T10:T15)</f>
        <v>131500</v>
      </c>
      <c r="U16" s="23" t="n">
        <f aca="false">SUM(U10:U15)</f>
        <v>135300</v>
      </c>
      <c r="V16" s="23" t="n">
        <f aca="false">SUM(V10:V15)</f>
        <v>145600</v>
      </c>
      <c r="W16" s="23" t="n">
        <f aca="false">SUM(W10:W15)</f>
        <v>149200</v>
      </c>
      <c r="X16" s="23" t="n">
        <f aca="false">SUM(X10:X15)</f>
        <v>152800</v>
      </c>
      <c r="Y16" s="23" t="n">
        <f aca="false">SUM(Y10:Y15)</f>
        <v>156400</v>
      </c>
      <c r="Z16" s="23" t="n">
        <f aca="false">SUM(B16:Y16)</f>
        <v>2156000</v>
      </c>
    </row>
    <row r="18" customFormat="false" ht="15" hidden="false" customHeight="false" outlineLevel="0" collapsed="false">
      <c r="A18" s="41" t="s">
        <v>279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5" hidden="false" customHeight="false" outlineLevel="0" collapsed="false">
      <c r="A19" s="0" t="s">
        <v>280</v>
      </c>
      <c r="B19" s="43" t="n">
        <f aca="false">B7-B16</f>
        <v>-12700</v>
      </c>
      <c r="C19" s="43" t="n">
        <f aca="false">C7-C16</f>
        <v>8700</v>
      </c>
      <c r="D19" s="43" t="n">
        <f aca="false">D7-D16</f>
        <v>30100</v>
      </c>
      <c r="E19" s="43" t="n">
        <f aca="false">E7-E16</f>
        <v>46000</v>
      </c>
      <c r="F19" s="43" t="n">
        <f aca="false">F7-F16</f>
        <v>67400</v>
      </c>
      <c r="G19" s="43" t="n">
        <f aca="false">G7-G16</f>
        <v>82300</v>
      </c>
      <c r="H19" s="43" t="n">
        <f aca="false">H7-H16</f>
        <v>97000</v>
      </c>
      <c r="I19" s="43" t="n">
        <f aca="false">I7-I16</f>
        <v>118400</v>
      </c>
      <c r="J19" s="43" t="n">
        <f aca="false">J7-J16</f>
        <v>133300</v>
      </c>
      <c r="K19" s="43" t="n">
        <f aca="false">K7-K16</f>
        <v>154700</v>
      </c>
      <c r="L19" s="43" t="n">
        <f aca="false">L7-L16</f>
        <v>169600</v>
      </c>
      <c r="M19" s="43" t="n">
        <f aca="false">M7-M16</f>
        <v>191000</v>
      </c>
      <c r="N19" s="43" t="n">
        <f aca="false">N7-N16</f>
        <v>223000</v>
      </c>
      <c r="O19" s="43" t="n">
        <f aca="false">O7-O16</f>
        <v>248700</v>
      </c>
      <c r="P19" s="43" t="n">
        <f aca="false">P7-P16</f>
        <v>280900</v>
      </c>
      <c r="Q19" s="43" t="n">
        <f aca="false">Q7-Q16</f>
        <v>306600</v>
      </c>
      <c r="R19" s="43" t="n">
        <f aca="false">R7-R16</f>
        <v>338800</v>
      </c>
      <c r="S19" s="43" t="n">
        <f aca="false">S7-S16</f>
        <v>371000</v>
      </c>
      <c r="T19" s="43" t="n">
        <f aca="false">T7-T16</f>
        <v>396500</v>
      </c>
      <c r="U19" s="43" t="n">
        <f aca="false">U7-U16</f>
        <v>428700</v>
      </c>
      <c r="V19" s="43" t="n">
        <f aca="false">V7-V16</f>
        <v>454400</v>
      </c>
      <c r="W19" s="43" t="n">
        <f aca="false">W7-W16</f>
        <v>486800</v>
      </c>
      <c r="X19" s="43" t="n">
        <f aca="false">X7-X16</f>
        <v>519200</v>
      </c>
      <c r="Y19" s="43" t="n">
        <f aca="false">Y7-Y16</f>
        <v>551600</v>
      </c>
    </row>
    <row r="20" customFormat="false" ht="15" hidden="false" customHeight="false" outlineLevel="0" collapsed="false">
      <c r="A20" s="0" t="s">
        <v>281</v>
      </c>
      <c r="B20" s="38" t="n">
        <f aca="false">2000000+B19</f>
        <v>1987300</v>
      </c>
      <c r="C20" s="38" t="n">
        <f aca="false">B20+C19</f>
        <v>1996000</v>
      </c>
      <c r="D20" s="38" t="n">
        <f aca="false">C20+D19</f>
        <v>2026100</v>
      </c>
      <c r="E20" s="38" t="n">
        <f aca="false">D20+E19</f>
        <v>2072100</v>
      </c>
      <c r="F20" s="38" t="n">
        <f aca="false">E20+F19</f>
        <v>2139500</v>
      </c>
      <c r="G20" s="38" t="n">
        <f aca="false">F20+G19</f>
        <v>2221800</v>
      </c>
      <c r="H20" s="38" t="n">
        <f aca="false">G20+H19</f>
        <v>2318800</v>
      </c>
      <c r="I20" s="38" t="n">
        <f aca="false">H20+I19</f>
        <v>2437200</v>
      </c>
      <c r="J20" s="38" t="n">
        <f aca="false">I20+J19</f>
        <v>2570500</v>
      </c>
      <c r="K20" s="38" t="n">
        <f aca="false">J20+K19</f>
        <v>2725200</v>
      </c>
      <c r="L20" s="38" t="n">
        <f aca="false">K20+L19</f>
        <v>2894800</v>
      </c>
      <c r="M20" s="38" t="n">
        <f aca="false">L20+M19</f>
        <v>3085800</v>
      </c>
      <c r="N20" s="38" t="n">
        <f aca="false">M20+N19</f>
        <v>3308800</v>
      </c>
      <c r="O20" s="38" t="n">
        <f aca="false">N20+O19</f>
        <v>3557500</v>
      </c>
      <c r="P20" s="38" t="n">
        <f aca="false">O20+P19</f>
        <v>3838400</v>
      </c>
      <c r="Q20" s="38" t="n">
        <f aca="false">P20+Q19</f>
        <v>4145000</v>
      </c>
      <c r="R20" s="38" t="n">
        <f aca="false">Q20+R19</f>
        <v>4483800</v>
      </c>
      <c r="S20" s="38" t="n">
        <f aca="false">R20+S19</f>
        <v>4854800</v>
      </c>
      <c r="T20" s="38" t="n">
        <f aca="false">S20+T19</f>
        <v>5251300</v>
      </c>
      <c r="U20" s="38" t="n">
        <f aca="false">T20+U19</f>
        <v>5680000</v>
      </c>
      <c r="V20" s="38" t="n">
        <f aca="false">U20+V19</f>
        <v>6134400</v>
      </c>
      <c r="W20" s="38" t="n">
        <f aca="false">V20+W19</f>
        <v>6621200</v>
      </c>
      <c r="X20" s="38" t="n">
        <f aca="false">W20+X19</f>
        <v>7140400</v>
      </c>
      <c r="Y20" s="38" t="n">
        <f aca="false">X20+Y19</f>
        <v>7692000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5"/>
  </cols>
  <sheetData>
    <row r="1" customFormat="false" ht="22.05" hidden="false" customHeight="false" outlineLevel="0" collapsed="false">
      <c r="A1" s="12" t="s">
        <v>282</v>
      </c>
    </row>
    <row r="4" customFormat="false" ht="15" hidden="false" customHeight="false" outlineLevel="0" collapsed="false">
      <c r="A4" s="4" t="s">
        <v>283</v>
      </c>
      <c r="B4" s="5"/>
      <c r="C4" s="5"/>
    </row>
    <row r="5" customFormat="false" ht="15" hidden="false" customHeight="false" outlineLevel="0" collapsed="false">
      <c r="A5" s="0" t="s">
        <v>284</v>
      </c>
      <c r="B5" s="31" t="s">
        <v>285</v>
      </c>
      <c r="C5" s="13" t="s">
        <v>286</v>
      </c>
    </row>
    <row r="6" customFormat="false" ht="15" hidden="false" customHeight="false" outlineLevel="0" collapsed="false">
      <c r="A6" s="0" t="s">
        <v>287</v>
      </c>
      <c r="B6" s="31" t="s">
        <v>288</v>
      </c>
      <c r="C6" s="13" t="s">
        <v>289</v>
      </c>
    </row>
    <row r="7" customFormat="false" ht="15" hidden="false" customHeight="false" outlineLevel="0" collapsed="false">
      <c r="A7" s="0" t="s">
        <v>290</v>
      </c>
      <c r="B7" s="31" t="s">
        <v>291</v>
      </c>
      <c r="C7" s="13" t="s">
        <v>292</v>
      </c>
    </row>
    <row r="8" customFormat="false" ht="15" hidden="false" customHeight="false" outlineLevel="0" collapsed="false">
      <c r="A8" s="0" t="s">
        <v>293</v>
      </c>
      <c r="B8" s="31" t="s">
        <v>294</v>
      </c>
      <c r="C8" s="13" t="s">
        <v>295</v>
      </c>
    </row>
    <row r="9" customFormat="false" ht="15" hidden="false" customHeight="false" outlineLevel="0" collapsed="false">
      <c r="A9" s="0" t="s">
        <v>296</v>
      </c>
      <c r="B9" s="31" t="s">
        <v>297</v>
      </c>
      <c r="C9" s="13" t="s">
        <v>298</v>
      </c>
    </row>
    <row r="10" customFormat="false" ht="15" hidden="false" customHeight="false" outlineLevel="0" collapsed="false">
      <c r="A10" s="0" t="s">
        <v>299</v>
      </c>
      <c r="B10" s="31" t="s">
        <v>300</v>
      </c>
      <c r="C10" s="13" t="s">
        <v>301</v>
      </c>
    </row>
    <row r="11" customFormat="false" ht="15" hidden="false" customHeight="false" outlineLevel="0" collapsed="false">
      <c r="A11" s="0" t="s">
        <v>302</v>
      </c>
      <c r="B11" s="31" t="s">
        <v>303</v>
      </c>
      <c r="C11" s="13" t="s">
        <v>304</v>
      </c>
    </row>
    <row r="14" customFormat="false" ht="15" hidden="false" customHeight="false" outlineLevel="0" collapsed="false">
      <c r="A14" s="4" t="s">
        <v>305</v>
      </c>
      <c r="B14" s="5"/>
      <c r="C14" s="5"/>
      <c r="D14" s="5"/>
    </row>
    <row r="15" customFormat="false" ht="15" hidden="false" customHeight="false" outlineLevel="0" collapsed="false">
      <c r="A15" s="16" t="s">
        <v>306</v>
      </c>
      <c r="B15" s="16" t="s">
        <v>241</v>
      </c>
      <c r="C15" s="16" t="s">
        <v>307</v>
      </c>
      <c r="D15" s="16" t="s">
        <v>308</v>
      </c>
    </row>
    <row r="16" customFormat="false" ht="15" hidden="false" customHeight="false" outlineLevel="0" collapsed="false">
      <c r="A16" s="42" t="s">
        <v>309</v>
      </c>
      <c r="B16" s="42" t="s">
        <v>310</v>
      </c>
      <c r="C16" s="42" t="s">
        <v>311</v>
      </c>
      <c r="D16" s="42" t="s">
        <v>312</v>
      </c>
    </row>
    <row r="17" customFormat="false" ht="15" hidden="false" customHeight="false" outlineLevel="0" collapsed="false">
      <c r="A17" s="0" t="s">
        <v>313</v>
      </c>
      <c r="B17" s="0" t="s">
        <v>314</v>
      </c>
      <c r="C17" s="0" t="s">
        <v>315</v>
      </c>
      <c r="D17" s="0" t="s">
        <v>316</v>
      </c>
    </row>
    <row r="18" customFormat="false" ht="15" hidden="false" customHeight="false" outlineLevel="0" collapsed="false">
      <c r="A18" s="42" t="s">
        <v>317</v>
      </c>
      <c r="B18" s="42" t="s">
        <v>318</v>
      </c>
      <c r="C18" s="42" t="s">
        <v>319</v>
      </c>
      <c r="D18" s="42" t="s">
        <v>320</v>
      </c>
    </row>
    <row r="19" customFormat="false" ht="15" hidden="false" customHeight="false" outlineLevel="0" collapsed="false">
      <c r="A19" s="0" t="s">
        <v>321</v>
      </c>
      <c r="B19" s="0" t="s">
        <v>322</v>
      </c>
      <c r="C19" s="0" t="s">
        <v>323</v>
      </c>
      <c r="D19" s="0" t="s">
        <v>324</v>
      </c>
    </row>
    <row r="20" customFormat="false" ht="15" hidden="false" customHeight="false" outlineLevel="0" collapsed="false">
      <c r="A20" s="42" t="s">
        <v>325</v>
      </c>
      <c r="B20" s="42" t="s">
        <v>326</v>
      </c>
      <c r="C20" s="42" t="s">
        <v>327</v>
      </c>
      <c r="D20" s="42" t="s">
        <v>328</v>
      </c>
    </row>
    <row r="21" customFormat="false" ht="15" hidden="false" customHeight="false" outlineLevel="0" collapsed="false">
      <c r="A21" s="0" t="s">
        <v>329</v>
      </c>
      <c r="B21" s="0" t="s">
        <v>330</v>
      </c>
      <c r="C21" s="0" t="s">
        <v>331</v>
      </c>
      <c r="D21" s="0" t="s">
        <v>332</v>
      </c>
    </row>
    <row r="24" customFormat="false" ht="15" hidden="false" customHeight="false" outlineLevel="0" collapsed="false">
      <c r="A24" s="4" t="s">
        <v>333</v>
      </c>
      <c r="B24" s="5"/>
      <c r="C24" s="5"/>
    </row>
    <row r="25" customFormat="false" ht="15" hidden="false" customHeight="false" outlineLevel="0" collapsed="false">
      <c r="A25" s="0" t="s">
        <v>334</v>
      </c>
      <c r="B25" s="31" t="s">
        <v>335</v>
      </c>
      <c r="C25" s="30" t="s">
        <v>336</v>
      </c>
    </row>
    <row r="26" customFormat="false" ht="15" hidden="false" customHeight="false" outlineLevel="0" collapsed="false">
      <c r="A26" s="0" t="s">
        <v>337</v>
      </c>
      <c r="B26" s="31" t="s">
        <v>338</v>
      </c>
      <c r="C26" s="30" t="s">
        <v>339</v>
      </c>
    </row>
    <row r="27" customFormat="false" ht="15" hidden="false" customHeight="false" outlineLevel="0" collapsed="false">
      <c r="A27" s="0" t="s">
        <v>340</v>
      </c>
      <c r="B27" s="31" t="s">
        <v>341</v>
      </c>
      <c r="C27" s="30" t="s">
        <v>342</v>
      </c>
    </row>
    <row r="28" customFormat="false" ht="15" hidden="false" customHeight="false" outlineLevel="0" collapsed="false">
      <c r="A28" s="0" t="s">
        <v>343</v>
      </c>
      <c r="B28" s="31" t="s">
        <v>344</v>
      </c>
      <c r="C28" s="30" t="s">
        <v>345</v>
      </c>
    </row>
    <row r="29" customFormat="false" ht="15" hidden="false" customHeight="false" outlineLevel="0" collapsed="false">
      <c r="A29" s="0" t="s">
        <v>346</v>
      </c>
      <c r="B29" s="31" t="s">
        <v>347</v>
      </c>
      <c r="C29" s="3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22.05" hidden="false" customHeight="false" outlineLevel="0" collapsed="false">
      <c r="A1" s="12" t="s">
        <v>349</v>
      </c>
    </row>
    <row r="3" customFormat="false" ht="15" hidden="false" customHeight="false" outlineLevel="0" collapsed="false">
      <c r="A3" s="4" t="s">
        <v>126</v>
      </c>
      <c r="B3" s="4" t="s">
        <v>350</v>
      </c>
      <c r="C3" s="4" t="s">
        <v>351</v>
      </c>
      <c r="D3" s="4" t="s">
        <v>352</v>
      </c>
      <c r="E3" s="4" t="s">
        <v>353</v>
      </c>
      <c r="F3" s="4" t="s">
        <v>354</v>
      </c>
    </row>
    <row r="4" customFormat="false" ht="15" hidden="false" customHeight="false" outlineLevel="0" collapsed="false">
      <c r="A4" s="42" t="s">
        <v>355</v>
      </c>
      <c r="B4" s="42" t="s">
        <v>137</v>
      </c>
      <c r="C4" s="42" t="s">
        <v>356</v>
      </c>
      <c r="D4" s="44" t="s">
        <v>357</v>
      </c>
      <c r="E4" s="42" t="s">
        <v>358</v>
      </c>
      <c r="F4" s="42" t="s">
        <v>359</v>
      </c>
    </row>
    <row r="5" customFormat="false" ht="15" hidden="false" customHeight="false" outlineLevel="0" collapsed="false">
      <c r="A5" s="0" t="s">
        <v>360</v>
      </c>
      <c r="B5" s="0" t="s">
        <v>142</v>
      </c>
      <c r="C5" s="0" t="s">
        <v>361</v>
      </c>
      <c r="D5" s="31" t="s">
        <v>362</v>
      </c>
      <c r="E5" s="30" t="s">
        <v>363</v>
      </c>
      <c r="F5" s="30" t="s">
        <v>364</v>
      </c>
    </row>
    <row r="6" customFormat="false" ht="15" hidden="false" customHeight="false" outlineLevel="0" collapsed="false">
      <c r="A6" s="42" t="s">
        <v>365</v>
      </c>
      <c r="B6" s="42" t="s">
        <v>146</v>
      </c>
      <c r="C6" s="42" t="s">
        <v>40</v>
      </c>
      <c r="D6" s="44" t="s">
        <v>45</v>
      </c>
      <c r="E6" s="42" t="s">
        <v>366</v>
      </c>
      <c r="F6" s="42" t="s">
        <v>367</v>
      </c>
    </row>
    <row r="7" customFormat="false" ht="15" hidden="false" customHeight="false" outlineLevel="0" collapsed="false">
      <c r="A7" s="0" t="s">
        <v>368</v>
      </c>
      <c r="B7" s="0" t="s">
        <v>30</v>
      </c>
      <c r="C7" s="0" t="s">
        <v>32</v>
      </c>
      <c r="D7" s="31" t="s">
        <v>37</v>
      </c>
      <c r="E7" s="30" t="s">
        <v>369</v>
      </c>
      <c r="F7" s="30" t="s">
        <v>370</v>
      </c>
    </row>
    <row r="8" customFormat="false" ht="15" hidden="false" customHeight="false" outlineLevel="0" collapsed="false">
      <c r="A8" s="42" t="s">
        <v>371</v>
      </c>
      <c r="B8" s="42" t="s">
        <v>372</v>
      </c>
      <c r="C8" s="42" t="s">
        <v>41</v>
      </c>
      <c r="D8" s="44" t="s">
        <v>46</v>
      </c>
      <c r="E8" s="42" t="s">
        <v>373</v>
      </c>
      <c r="F8" s="42" t="s">
        <v>374</v>
      </c>
    </row>
    <row r="9" customFormat="false" ht="15" hidden="false" customHeight="false" outlineLevel="0" collapsed="false">
      <c r="A9" s="0" t="s">
        <v>375</v>
      </c>
      <c r="B9" s="0" t="s">
        <v>361</v>
      </c>
      <c r="C9" s="0" t="s">
        <v>376</v>
      </c>
      <c r="D9" s="31" t="s">
        <v>377</v>
      </c>
      <c r="E9" s="30" t="s">
        <v>378</v>
      </c>
      <c r="F9" s="30" t="s">
        <v>379</v>
      </c>
    </row>
    <row r="10" customFormat="false" ht="15" hidden="false" customHeight="false" outlineLevel="0" collapsed="false">
      <c r="A10" s="42" t="s">
        <v>380</v>
      </c>
      <c r="B10" s="42" t="s">
        <v>31</v>
      </c>
      <c r="C10" s="42" t="s">
        <v>381</v>
      </c>
      <c r="D10" s="44" t="s">
        <v>382</v>
      </c>
      <c r="E10" s="42" t="s">
        <v>383</v>
      </c>
      <c r="F10" s="42" t="s">
        <v>384</v>
      </c>
    </row>
    <row r="11" customFormat="false" ht="15" hidden="false" customHeight="false" outlineLevel="0" collapsed="false">
      <c r="A11" s="0" t="s">
        <v>385</v>
      </c>
      <c r="B11" s="0" t="s">
        <v>40</v>
      </c>
      <c r="C11" s="0" t="s">
        <v>386</v>
      </c>
      <c r="D11" s="31" t="s">
        <v>387</v>
      </c>
      <c r="E11" s="30" t="s">
        <v>89</v>
      </c>
      <c r="F11" s="30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2025-12-22T11:00:56Z</dcterms:created>
  <dc:creator>openpyxl</dc:creator>
  <dc:description/>
  <dc:language>en-US</dc:language>
  <cp:lastModifiedBy/>
  <dcterms:modified xsi:type="dcterms:W3CDTF">2025-12-22T11:00:56Z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