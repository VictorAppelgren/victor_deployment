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Cash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sz val="10"/>
    </font>
    <font>
      <b val="1"/>
      <sz val="12"/>
    </font>
    <font>
      <b val="1"/>
    </font>
    <font>
      <i val="1"/>
      <color rgb="00666666"/>
    </font>
    <font>
      <b val="1"/>
      <sz val="14"/>
    </font>
    <font>
      <b val="1"/>
      <color rgb="00FFFFFF"/>
      <sz val="10"/>
    </font>
    <font>
      <b val="1"/>
      <sz val="10"/>
    </font>
    <font>
      <b val="1"/>
      <color rgb="00FF000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2F3"/>
        <bgColor rgb="00D9E2F3"/>
      </patternFill>
    </fill>
    <fill>
      <patternFill patternType="solid">
        <fgColor rgb="00FFFFD0"/>
        <bgColor rgb="00FFFF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3" fontId="4" fillId="4" borderId="0" pivotButton="0" quotePrefix="0" xfId="0"/>
    <xf numFmtId="9" fontId="0" fillId="4" borderId="0" pivotButton="0" quotePrefix="0" xfId="0"/>
    <xf numFmtId="3" fontId="0" fillId="0" borderId="0" pivotButton="0" quotePrefix="0" xfId="0"/>
    <xf numFmtId="3" fontId="0" fillId="4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pivotButton="0" quotePrefix="0" xfId="0"/>
    <xf numFmtId="0" fontId="7" fillId="2" borderId="0" applyAlignment="1" pivotButton="0" quotePrefix="0" xfId="0">
      <alignment horizontal="center"/>
    </xf>
    <xf numFmtId="0" fontId="4" fillId="0" borderId="0" pivotButton="0" quotePrefix="0" xfId="0"/>
    <xf numFmtId="0" fontId="0" fillId="4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8" fillId="3" borderId="0" pivotButton="0" quotePrefix="0" xfId="0"/>
    <xf numFmtId="0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3" fontId="4" fillId="0" borderId="0" applyAlignment="1" pivotButton="0" quotePrefix="0" xfId="0">
      <alignment horizontal="right"/>
    </xf>
    <xf numFmtId="3" fontId="4" fillId="0" borderId="0" pivotButton="0" quotePrefix="0" xfId="0"/>
    <xf numFmtId="164" fontId="0" fillId="0" borderId="0" applyAlignment="1" pivotButton="0" quotePrefix="0" xfId="0">
      <alignment horizontal="right"/>
    </xf>
    <xf numFmtId="3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5" customWidth="1" min="3" max="3"/>
    <col width="15" customWidth="1" min="4" max="4"/>
  </cols>
  <sheetData>
    <row r="1">
      <c r="A1" s="1" t="inlineStr">
        <is>
          <t>SAGALABS FINANCIAL MODEL - ASSUMPTIONS</t>
        </is>
      </c>
    </row>
    <row r="2">
      <c r="A2" s="2" t="inlineStr">
        <is>
          <t>Yellow cells are editable - change them to see impact on projections</t>
        </is>
      </c>
    </row>
    <row r="4">
      <c r="A4" s="3" t="inlineStr">
        <is>
          <t>RAISE DETAILS</t>
        </is>
      </c>
    </row>
    <row r="5">
      <c r="A5" t="inlineStr">
        <is>
          <t>Raise Amount (SEK)</t>
        </is>
      </c>
      <c r="B5" s="4" t="n">
        <v>35000000</v>
      </c>
    </row>
    <row r="6">
      <c r="A6" t="inlineStr">
        <is>
          <t>Dilution (%)</t>
        </is>
      </c>
      <c r="B6" s="5" t="n">
        <v>0.2</v>
      </c>
    </row>
    <row r="7">
      <c r="A7" t="inlineStr">
        <is>
          <t>Pre-Money Valuation</t>
        </is>
      </c>
      <c r="B7" s="6">
        <f>B5/B6-B5</f>
        <v/>
      </c>
    </row>
    <row r="8">
      <c r="A8" t="inlineStr">
        <is>
          <t>Post-Money Valuation</t>
        </is>
      </c>
      <c r="B8" s="6">
        <f>B5/B6</f>
        <v/>
      </c>
    </row>
    <row r="10">
      <c r="A10" s="3" t="inlineStr">
        <is>
          <t>SALARY COSTS (SWEDEN)</t>
        </is>
      </c>
    </row>
    <row r="11">
      <c r="A11" t="inlineStr">
        <is>
          <t>Avg Base Salary (SEK/month)</t>
        </is>
      </c>
      <c r="B11" s="7" t="n">
        <v>90000</v>
      </c>
    </row>
    <row r="12">
      <c r="A12" t="inlineStr">
        <is>
          <t>Arbetsgivaravgift (%)</t>
        </is>
      </c>
      <c r="B12" s="5" t="n">
        <v>0.32</v>
      </c>
    </row>
    <row r="13">
      <c r="A13" t="inlineStr">
        <is>
          <t>Total Cost per Employee</t>
        </is>
      </c>
      <c r="B13" s="6">
        <f>B11*(1+B12)</f>
        <v/>
      </c>
      <c r="C13" s="8">
        <f> Base * (1 + Avgift)</f>
        <v/>
      </c>
    </row>
    <row r="15">
      <c r="A15" s="3" t="inlineStr">
        <is>
          <t>PRICING</t>
        </is>
      </c>
    </row>
    <row r="16">
      <c r="A16" t="inlineStr">
        <is>
          <t>Monthly License Fee (SEK)</t>
        </is>
      </c>
      <c r="B16" s="7" t="n">
        <v>100000</v>
      </c>
    </row>
    <row r="17">
      <c r="A17" t="inlineStr">
        <is>
          <t>Annual Contract Value</t>
        </is>
      </c>
      <c r="B17" s="6">
        <f>B16*12</f>
        <v/>
      </c>
    </row>
    <row r="19">
      <c r="A19" s="3" t="inlineStr">
        <is>
          <t>OPERATING COSTS</t>
        </is>
      </c>
    </row>
    <row r="20">
      <c r="A20" t="inlineStr">
        <is>
          <t>Compute - Base (SEK/month)</t>
        </is>
      </c>
      <c r="B20" s="7" t="n">
        <v>50000</v>
      </c>
    </row>
    <row r="21">
      <c r="A21" t="inlineStr">
        <is>
          <t>Compute - Per Customer</t>
        </is>
      </c>
      <c r="B21" s="7" t="n">
        <v>12000</v>
      </c>
    </row>
    <row r="22">
      <c r="A22" t="inlineStr">
        <is>
          <t>Data - Base (SEK/month)</t>
        </is>
      </c>
      <c r="B22" s="7" t="n">
        <v>80000</v>
      </c>
    </row>
    <row r="23">
      <c r="A23" t="inlineStr">
        <is>
          <t>Data - Per Customer</t>
        </is>
      </c>
      <c r="B23" s="7" t="n">
        <v>5000</v>
      </c>
    </row>
    <row r="24">
      <c r="A24" t="inlineStr">
        <is>
          <t>Infrastructure - Base</t>
        </is>
      </c>
      <c r="B24" s="7" t="n">
        <v>25000</v>
      </c>
    </row>
    <row r="25">
      <c r="A25" t="inlineStr">
        <is>
          <t>Infrastructure - Per Employee</t>
        </is>
      </c>
      <c r="B25" s="7" t="n">
        <v>3000</v>
      </c>
    </row>
    <row r="26">
      <c r="A26" t="inlineStr">
        <is>
          <t>Office - Per Employee</t>
        </is>
      </c>
      <c r="B26" s="7" t="n">
        <v>6000</v>
      </c>
    </row>
    <row r="27">
      <c r="A27" t="inlineStr">
        <is>
          <t>Sales/Marketing - Base</t>
        </is>
      </c>
      <c r="B27" s="7" t="n">
        <v>30000</v>
      </c>
    </row>
    <row r="28">
      <c r="A28" t="inlineStr">
        <is>
          <t>Sales/Marketing - Per Customer</t>
        </is>
      </c>
      <c r="B28" s="7" t="n">
        <v>5000</v>
      </c>
    </row>
    <row r="29">
      <c r="A29" t="inlineStr">
        <is>
          <t>Admin &amp; Legal - Base</t>
        </is>
      </c>
      <c r="B29" s="7" t="n">
        <v>25000</v>
      </c>
    </row>
    <row r="30">
      <c r="A30" t="inlineStr">
        <is>
          <t>Buffer (%)</t>
        </is>
      </c>
      <c r="B30" s="5" t="n">
        <v>0.1</v>
      </c>
    </row>
  </sheetData>
  <mergeCells count="5">
    <mergeCell ref="A1:D1"/>
    <mergeCell ref="A4:D4"/>
    <mergeCell ref="A15:D15"/>
    <mergeCell ref="A19:D19"/>
    <mergeCell ref="A10:D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</cols>
  <sheetData>
    <row r="1">
      <c r="A1" s="9" t="inlineStr">
        <is>
          <t>MONTHLY INPUTS - Edit these to change projections</t>
        </is>
      </c>
    </row>
    <row r="3">
      <c r="A3" s="10" t="inlineStr">
        <is>
          <t>Month</t>
        </is>
      </c>
      <c r="B3" s="11" t="inlineStr">
        <is>
          <t>M1</t>
        </is>
      </c>
      <c r="C3" s="11" t="inlineStr">
        <is>
          <t>M2</t>
        </is>
      </c>
      <c r="D3" s="11" t="inlineStr">
        <is>
          <t>M3</t>
        </is>
      </c>
      <c r="E3" s="11" t="inlineStr">
        <is>
          <t>M4</t>
        </is>
      </c>
      <c r="F3" s="11" t="inlineStr">
        <is>
          <t>M5</t>
        </is>
      </c>
      <c r="G3" s="11" t="inlineStr">
        <is>
          <t>M6</t>
        </is>
      </c>
      <c r="H3" s="11" t="inlineStr">
        <is>
          <t>M7</t>
        </is>
      </c>
      <c r="I3" s="11" t="inlineStr">
        <is>
          <t>M8</t>
        </is>
      </c>
      <c r="J3" s="11" t="inlineStr">
        <is>
          <t>M9</t>
        </is>
      </c>
      <c r="K3" s="11" t="inlineStr">
        <is>
          <t>M10</t>
        </is>
      </c>
      <c r="L3" s="11" t="inlineStr">
        <is>
          <t>M11</t>
        </is>
      </c>
      <c r="M3" s="11" t="inlineStr">
        <is>
          <t>M12</t>
        </is>
      </c>
      <c r="N3" s="11" t="inlineStr">
        <is>
          <t>M13</t>
        </is>
      </c>
      <c r="O3" s="11" t="inlineStr">
        <is>
          <t>M14</t>
        </is>
      </c>
      <c r="P3" s="11" t="inlineStr">
        <is>
          <t>M15</t>
        </is>
      </c>
      <c r="Q3" s="11" t="inlineStr">
        <is>
          <t>M16</t>
        </is>
      </c>
      <c r="R3" s="11" t="inlineStr">
        <is>
          <t>M17</t>
        </is>
      </c>
      <c r="S3" s="11" t="inlineStr">
        <is>
          <t>M18</t>
        </is>
      </c>
      <c r="T3" s="11" t="inlineStr">
        <is>
          <t>M19</t>
        </is>
      </c>
      <c r="U3" s="11" t="inlineStr">
        <is>
          <t>M20</t>
        </is>
      </c>
      <c r="V3" s="11" t="inlineStr">
        <is>
          <t>M21</t>
        </is>
      </c>
      <c r="W3" s="11" t="inlineStr">
        <is>
          <t>M22</t>
        </is>
      </c>
      <c r="X3" s="11" t="inlineStr">
        <is>
          <t>M23</t>
        </is>
      </c>
      <c r="Y3" s="11" t="inlineStr">
        <is>
          <t>M24</t>
        </is>
      </c>
    </row>
    <row r="4">
      <c r="A4" s="12" t="inlineStr">
        <is>
          <t>New Customers</t>
        </is>
      </c>
      <c r="B4" s="13" t="n">
        <v>0</v>
      </c>
      <c r="C4" s="13" t="n">
        <v>0</v>
      </c>
      <c r="D4" s="13" t="n">
        <v>0</v>
      </c>
      <c r="E4" s="13" t="n">
        <v>0</v>
      </c>
      <c r="F4" s="13" t="n">
        <v>1</v>
      </c>
      <c r="G4" s="13" t="n">
        <v>1</v>
      </c>
      <c r="H4" s="13" t="n">
        <v>1</v>
      </c>
      <c r="I4" s="13" t="n">
        <v>2</v>
      </c>
      <c r="J4" s="13" t="n">
        <v>2</v>
      </c>
      <c r="K4" s="13" t="n">
        <v>2</v>
      </c>
      <c r="L4" s="13" t="n">
        <v>3</v>
      </c>
      <c r="M4" s="13" t="n">
        <v>3</v>
      </c>
      <c r="N4" s="13" t="n">
        <v>3</v>
      </c>
      <c r="O4" s="13" t="n">
        <v>4</v>
      </c>
      <c r="P4" s="13" t="n">
        <v>4</v>
      </c>
      <c r="Q4" s="13" t="n">
        <v>4</v>
      </c>
      <c r="R4" s="13" t="n">
        <v>5</v>
      </c>
      <c r="S4" s="13" t="n">
        <v>5</v>
      </c>
      <c r="T4" s="13" t="n">
        <v>5</v>
      </c>
      <c r="U4" s="13" t="n">
        <v>6</v>
      </c>
      <c r="V4" s="13" t="n">
        <v>6</v>
      </c>
      <c r="W4" s="13" t="n">
        <v>6</v>
      </c>
      <c r="X4" s="13" t="n">
        <v>7</v>
      </c>
      <c r="Y4" s="13" t="n">
        <v>7</v>
      </c>
    </row>
    <row r="5">
      <c r="A5" s="12" t="inlineStr">
        <is>
          <t>Total Customers</t>
        </is>
      </c>
      <c r="B5" s="14">
        <f>B4</f>
        <v/>
      </c>
      <c r="C5" s="14">
        <f>B5+C4</f>
        <v/>
      </c>
      <c r="D5" s="14">
        <f>C5+D4</f>
        <v/>
      </c>
      <c r="E5" s="14">
        <f>D5+E4</f>
        <v/>
      </c>
      <c r="F5" s="14">
        <f>E5+F4</f>
        <v/>
      </c>
      <c r="G5" s="14">
        <f>F5+G4</f>
        <v/>
      </c>
      <c r="H5" s="14">
        <f>G5+H4</f>
        <v/>
      </c>
      <c r="I5" s="14">
        <f>H5+I4</f>
        <v/>
      </c>
      <c r="J5" s="14">
        <f>I5+J4</f>
        <v/>
      </c>
      <c r="K5" s="14">
        <f>J5+K4</f>
        <v/>
      </c>
      <c r="L5" s="14">
        <f>K5+L4</f>
        <v/>
      </c>
      <c r="M5" s="14">
        <f>L5+M4</f>
        <v/>
      </c>
      <c r="N5" s="14">
        <f>M5+N4</f>
        <v/>
      </c>
      <c r="O5" s="14">
        <f>N5+O4</f>
        <v/>
      </c>
      <c r="P5" s="14">
        <f>O5+P4</f>
        <v/>
      </c>
      <c r="Q5" s="14">
        <f>P5+Q4</f>
        <v/>
      </c>
      <c r="R5" s="14">
        <f>Q5+R4</f>
        <v/>
      </c>
      <c r="S5" s="14">
        <f>R5+S4</f>
        <v/>
      </c>
      <c r="T5" s="14">
        <f>S5+T4</f>
        <v/>
      </c>
      <c r="U5" s="14">
        <f>T5+U4</f>
        <v/>
      </c>
      <c r="V5" s="14">
        <f>U5+V4</f>
        <v/>
      </c>
      <c r="W5" s="14">
        <f>V5+W4</f>
        <v/>
      </c>
      <c r="X5" s="14">
        <f>W5+X4</f>
        <v/>
      </c>
      <c r="Y5" s="14">
        <f>X5+Y4</f>
        <v/>
      </c>
    </row>
    <row r="7">
      <c r="A7" s="12" t="inlineStr">
        <is>
          <t>Team Size</t>
        </is>
      </c>
      <c r="B7" s="13" t="n">
        <v>4</v>
      </c>
      <c r="C7" s="13" t="n">
        <v>5</v>
      </c>
      <c r="D7" s="13" t="n">
        <v>6</v>
      </c>
      <c r="E7" s="13" t="n">
        <v>7</v>
      </c>
      <c r="F7" s="13" t="n">
        <v>8</v>
      </c>
      <c r="G7" s="13" t="n">
        <v>9</v>
      </c>
      <c r="H7" s="13" t="n">
        <v>10</v>
      </c>
      <c r="I7" s="13" t="n">
        <v>11</v>
      </c>
      <c r="J7" s="13" t="n">
        <v>12</v>
      </c>
      <c r="K7" s="13" t="n">
        <v>13</v>
      </c>
      <c r="L7" s="13" t="n">
        <v>14</v>
      </c>
      <c r="M7" s="13" t="n">
        <v>15</v>
      </c>
      <c r="N7" s="13" t="n">
        <v>17</v>
      </c>
      <c r="O7" s="13" t="n">
        <v>19</v>
      </c>
      <c r="P7" s="13" t="n">
        <v>21</v>
      </c>
      <c r="Q7" s="13" t="n">
        <v>23</v>
      </c>
      <c r="R7" s="13" t="n">
        <v>25</v>
      </c>
      <c r="S7" s="13" t="n">
        <v>26</v>
      </c>
      <c r="T7" s="13" t="n">
        <v>27</v>
      </c>
      <c r="U7" s="13" t="n">
        <v>28</v>
      </c>
      <c r="V7" s="13" t="n">
        <v>29</v>
      </c>
      <c r="W7" s="13" t="n">
        <v>30</v>
      </c>
      <c r="X7" s="13" t="n">
        <v>30</v>
      </c>
      <c r="Y7" s="13" t="n">
        <v>30</v>
      </c>
    </row>
  </sheetData>
  <mergeCells count="1">
    <mergeCell ref="A1:Z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s="9" t="inlineStr">
        <is>
          <t>24-MONTH CASH FLOW - All values are formulas linked to Assumptions &amp; Inputs</t>
        </is>
      </c>
    </row>
    <row r="3">
      <c r="A3" s="10" t="inlineStr">
        <is>
          <t>Category</t>
        </is>
      </c>
      <c r="B3" s="11" t="inlineStr">
        <is>
          <t>M1</t>
        </is>
      </c>
      <c r="C3" s="11" t="inlineStr">
        <is>
          <t>M2</t>
        </is>
      </c>
      <c r="D3" s="11" t="inlineStr">
        <is>
          <t>M3</t>
        </is>
      </c>
      <c r="E3" s="11" t="inlineStr">
        <is>
          <t>M4</t>
        </is>
      </c>
      <c r="F3" s="11" t="inlineStr">
        <is>
          <t>M5</t>
        </is>
      </c>
      <c r="G3" s="11" t="inlineStr">
        <is>
          <t>M6</t>
        </is>
      </c>
      <c r="H3" s="11" t="inlineStr">
        <is>
          <t>M7</t>
        </is>
      </c>
      <c r="I3" s="11" t="inlineStr">
        <is>
          <t>M8</t>
        </is>
      </c>
      <c r="J3" s="11" t="inlineStr">
        <is>
          <t>M9</t>
        </is>
      </c>
      <c r="K3" s="11" t="inlineStr">
        <is>
          <t>M10</t>
        </is>
      </c>
      <c r="L3" s="11" t="inlineStr">
        <is>
          <t>M11</t>
        </is>
      </c>
      <c r="M3" s="11" t="inlineStr">
        <is>
          <t>M12</t>
        </is>
      </c>
      <c r="N3" s="11" t="inlineStr">
        <is>
          <t>M13</t>
        </is>
      </c>
      <c r="O3" s="11" t="inlineStr">
        <is>
          <t>M14</t>
        </is>
      </c>
      <c r="P3" s="11" t="inlineStr">
        <is>
          <t>M15</t>
        </is>
      </c>
      <c r="Q3" s="11" t="inlineStr">
        <is>
          <t>M16</t>
        </is>
      </c>
      <c r="R3" s="11" t="inlineStr">
        <is>
          <t>M17</t>
        </is>
      </c>
      <c r="S3" s="11" t="inlineStr">
        <is>
          <t>M18</t>
        </is>
      </c>
      <c r="T3" s="11" t="inlineStr">
        <is>
          <t>M19</t>
        </is>
      </c>
      <c r="U3" s="11" t="inlineStr">
        <is>
          <t>M20</t>
        </is>
      </c>
      <c r="V3" s="11" t="inlineStr">
        <is>
          <t>M21</t>
        </is>
      </c>
      <c r="W3" s="11" t="inlineStr">
        <is>
          <t>M22</t>
        </is>
      </c>
      <c r="X3" s="11" t="inlineStr">
        <is>
          <t>M23</t>
        </is>
      </c>
      <c r="Y3" s="11" t="inlineStr">
        <is>
          <t>M24</t>
        </is>
      </c>
      <c r="Z3" s="11" t="inlineStr">
        <is>
          <t>TOTAL/END</t>
        </is>
      </c>
    </row>
    <row r="4">
      <c r="A4" s="15" t="inlineStr">
        <is>
          <t>CUSTOMERS</t>
        </is>
      </c>
    </row>
    <row r="5">
      <c r="A5" t="inlineStr">
        <is>
          <t>New Customers</t>
        </is>
      </c>
      <c r="B5" s="16">
        <f>Inputs!B4</f>
        <v/>
      </c>
      <c r="C5" s="16">
        <f>Inputs!C4</f>
        <v/>
      </c>
      <c r="D5" s="16">
        <f>Inputs!D4</f>
        <v/>
      </c>
      <c r="E5" s="16">
        <f>Inputs!E4</f>
        <v/>
      </c>
      <c r="F5" s="16">
        <f>Inputs!F4</f>
        <v/>
      </c>
      <c r="G5" s="16">
        <f>Inputs!G4</f>
        <v/>
      </c>
      <c r="H5" s="16">
        <f>Inputs!H4</f>
        <v/>
      </c>
      <c r="I5" s="16">
        <f>Inputs!I4</f>
        <v/>
      </c>
      <c r="J5" s="16">
        <f>Inputs!J4</f>
        <v/>
      </c>
      <c r="K5" s="16">
        <f>Inputs!K4</f>
        <v/>
      </c>
      <c r="L5" s="16">
        <f>Inputs!L4</f>
        <v/>
      </c>
      <c r="M5" s="16">
        <f>Inputs!M4</f>
        <v/>
      </c>
      <c r="N5" s="16">
        <f>Inputs!N4</f>
        <v/>
      </c>
      <c r="O5" s="16">
        <f>Inputs!O4</f>
        <v/>
      </c>
      <c r="P5" s="16">
        <f>Inputs!P4</f>
        <v/>
      </c>
      <c r="Q5" s="16">
        <f>Inputs!Q4</f>
        <v/>
      </c>
      <c r="R5" s="16">
        <f>Inputs!R4</f>
        <v/>
      </c>
      <c r="S5" s="16">
        <f>Inputs!S4</f>
        <v/>
      </c>
      <c r="T5" s="16">
        <f>Inputs!T4</f>
        <v/>
      </c>
      <c r="U5" s="16">
        <f>Inputs!U4</f>
        <v/>
      </c>
      <c r="V5" s="16">
        <f>Inputs!V4</f>
        <v/>
      </c>
      <c r="W5" s="16">
        <f>Inputs!W4</f>
        <v/>
      </c>
      <c r="X5" s="16">
        <f>Inputs!X4</f>
        <v/>
      </c>
      <c r="Y5" s="16">
        <f>Inputs!Y4</f>
        <v/>
      </c>
      <c r="Z5">
        <f>SUM(B5:Y5)</f>
        <v/>
      </c>
    </row>
    <row r="6">
      <c r="A6" t="inlineStr">
        <is>
          <t>Total Customers</t>
        </is>
      </c>
      <c r="B6" s="16">
        <f>Inputs!B5</f>
        <v/>
      </c>
      <c r="C6" s="16">
        <f>Inputs!C5</f>
        <v/>
      </c>
      <c r="D6" s="16">
        <f>Inputs!D5</f>
        <v/>
      </c>
      <c r="E6" s="16">
        <f>Inputs!E5</f>
        <v/>
      </c>
      <c r="F6" s="16">
        <f>Inputs!F5</f>
        <v/>
      </c>
      <c r="G6" s="16">
        <f>Inputs!G5</f>
        <v/>
      </c>
      <c r="H6" s="16">
        <f>Inputs!H5</f>
        <v/>
      </c>
      <c r="I6" s="16">
        <f>Inputs!I5</f>
        <v/>
      </c>
      <c r="J6" s="16">
        <f>Inputs!J5</f>
        <v/>
      </c>
      <c r="K6" s="16">
        <f>Inputs!K5</f>
        <v/>
      </c>
      <c r="L6" s="16">
        <f>Inputs!L5</f>
        <v/>
      </c>
      <c r="M6" s="16">
        <f>Inputs!M5</f>
        <v/>
      </c>
      <c r="N6" s="16">
        <f>Inputs!N5</f>
        <v/>
      </c>
      <c r="O6" s="16">
        <f>Inputs!O5</f>
        <v/>
      </c>
      <c r="P6" s="16">
        <f>Inputs!P5</f>
        <v/>
      </c>
      <c r="Q6" s="16">
        <f>Inputs!Q5</f>
        <v/>
      </c>
      <c r="R6" s="16">
        <f>Inputs!R5</f>
        <v/>
      </c>
      <c r="S6" s="16">
        <f>Inputs!S5</f>
        <v/>
      </c>
      <c r="T6" s="16">
        <f>Inputs!T5</f>
        <v/>
      </c>
      <c r="U6" s="16">
        <f>Inputs!U5</f>
        <v/>
      </c>
      <c r="V6" s="16">
        <f>Inputs!V5</f>
        <v/>
      </c>
      <c r="W6" s="16">
        <f>Inputs!W5</f>
        <v/>
      </c>
      <c r="X6" s="16">
        <f>Inputs!X5</f>
        <v/>
      </c>
      <c r="Y6" s="16">
        <f>Inputs!Y5</f>
        <v/>
      </c>
      <c r="Z6">
        <f>Y6</f>
        <v/>
      </c>
    </row>
    <row r="8">
      <c r="A8" s="15" t="inlineStr">
        <is>
          <t>REVENUE</t>
        </is>
      </c>
    </row>
    <row r="9">
      <c r="A9" t="inlineStr">
        <is>
          <t>Monthly Revenue</t>
        </is>
      </c>
      <c r="B9" s="17">
        <f>B6*Assumptions!$B$16</f>
        <v/>
      </c>
      <c r="C9" s="17">
        <f>C6*Assumptions!$B$16</f>
        <v/>
      </c>
      <c r="D9" s="17">
        <f>D6*Assumptions!$B$16</f>
        <v/>
      </c>
      <c r="E9" s="17">
        <f>E6*Assumptions!$B$16</f>
        <v/>
      </c>
      <c r="F9" s="17">
        <f>F6*Assumptions!$B$16</f>
        <v/>
      </c>
      <c r="G9" s="17">
        <f>G6*Assumptions!$B$16</f>
        <v/>
      </c>
      <c r="H9" s="17">
        <f>H6*Assumptions!$B$16</f>
        <v/>
      </c>
      <c r="I9" s="17">
        <f>I6*Assumptions!$B$16</f>
        <v/>
      </c>
      <c r="J9" s="17">
        <f>J6*Assumptions!$B$16</f>
        <v/>
      </c>
      <c r="K9" s="17">
        <f>K6*Assumptions!$B$16</f>
        <v/>
      </c>
      <c r="L9" s="17">
        <f>L6*Assumptions!$B$16</f>
        <v/>
      </c>
      <c r="M9" s="17">
        <f>M6*Assumptions!$B$16</f>
        <v/>
      </c>
      <c r="N9" s="17">
        <f>N6*Assumptions!$B$16</f>
        <v/>
      </c>
      <c r="O9" s="17">
        <f>O6*Assumptions!$B$16</f>
        <v/>
      </c>
      <c r="P9" s="17">
        <f>P6*Assumptions!$B$16</f>
        <v/>
      </c>
      <c r="Q9" s="17">
        <f>Q6*Assumptions!$B$16</f>
        <v/>
      </c>
      <c r="R9" s="17">
        <f>R6*Assumptions!$B$16</f>
        <v/>
      </c>
      <c r="S9" s="17">
        <f>S6*Assumptions!$B$16</f>
        <v/>
      </c>
      <c r="T9" s="17">
        <f>T6*Assumptions!$B$16</f>
        <v/>
      </c>
      <c r="U9" s="17">
        <f>U6*Assumptions!$B$16</f>
        <v/>
      </c>
      <c r="V9" s="17">
        <f>V6*Assumptions!$B$16</f>
        <v/>
      </c>
      <c r="W9" s="17">
        <f>W6*Assumptions!$B$16</f>
        <v/>
      </c>
      <c r="X9" s="17">
        <f>X6*Assumptions!$B$16</f>
        <v/>
      </c>
      <c r="Y9" s="17">
        <f>Y6*Assumptions!$B$16</f>
        <v/>
      </c>
      <c r="Z9" s="6">
        <f>SUM(B9:Y9)</f>
        <v/>
      </c>
    </row>
    <row r="10">
      <c r="A10" t="inlineStr">
        <is>
          <t>ARR (Run Rate)</t>
        </is>
      </c>
      <c r="B10" s="17">
        <f>B9*12</f>
        <v/>
      </c>
      <c r="C10" s="17">
        <f>C9*12</f>
        <v/>
      </c>
      <c r="D10" s="17">
        <f>D9*12</f>
        <v/>
      </c>
      <c r="E10" s="17">
        <f>E9*12</f>
        <v/>
      </c>
      <c r="F10" s="17">
        <f>F9*12</f>
        <v/>
      </c>
      <c r="G10" s="17">
        <f>G9*12</f>
        <v/>
      </c>
      <c r="H10" s="17">
        <f>H9*12</f>
        <v/>
      </c>
      <c r="I10" s="17">
        <f>I9*12</f>
        <v/>
      </c>
      <c r="J10" s="17">
        <f>J9*12</f>
        <v/>
      </c>
      <c r="K10" s="17">
        <f>K9*12</f>
        <v/>
      </c>
      <c r="L10" s="17">
        <f>L9*12</f>
        <v/>
      </c>
      <c r="M10" s="17">
        <f>M9*12</f>
        <v/>
      </c>
      <c r="N10" s="17">
        <f>N9*12</f>
        <v/>
      </c>
      <c r="O10" s="17">
        <f>O9*12</f>
        <v/>
      </c>
      <c r="P10" s="17">
        <f>P9*12</f>
        <v/>
      </c>
      <c r="Q10" s="17">
        <f>Q9*12</f>
        <v/>
      </c>
      <c r="R10" s="17">
        <f>R9*12</f>
        <v/>
      </c>
      <c r="S10" s="17">
        <f>S9*12</f>
        <v/>
      </c>
      <c r="T10" s="17">
        <f>T9*12</f>
        <v/>
      </c>
      <c r="U10" s="17">
        <f>U9*12</f>
        <v/>
      </c>
      <c r="V10" s="17">
        <f>V9*12</f>
        <v/>
      </c>
      <c r="W10" s="17">
        <f>W9*12</f>
        <v/>
      </c>
      <c r="X10" s="17">
        <f>X9*12</f>
        <v/>
      </c>
      <c r="Y10" s="17">
        <f>Y9*12</f>
        <v/>
      </c>
      <c r="Z10" s="6">
        <f>Y10</f>
        <v/>
      </c>
    </row>
    <row r="12">
      <c r="A12" s="15" t="inlineStr">
        <is>
          <t>TEAM</t>
        </is>
      </c>
    </row>
    <row r="13">
      <c r="A13" t="inlineStr">
        <is>
          <t>Team Size</t>
        </is>
      </c>
      <c r="B13" s="16">
        <f>Inputs!B7</f>
        <v/>
      </c>
      <c r="C13" s="16">
        <f>Inputs!C7</f>
        <v/>
      </c>
      <c r="D13" s="16">
        <f>Inputs!D7</f>
        <v/>
      </c>
      <c r="E13" s="16">
        <f>Inputs!E7</f>
        <v/>
      </c>
      <c r="F13" s="16">
        <f>Inputs!F7</f>
        <v/>
      </c>
      <c r="G13" s="16">
        <f>Inputs!G7</f>
        <v/>
      </c>
      <c r="H13" s="16">
        <f>Inputs!H7</f>
        <v/>
      </c>
      <c r="I13" s="16">
        <f>Inputs!I7</f>
        <v/>
      </c>
      <c r="J13" s="16">
        <f>Inputs!J7</f>
        <v/>
      </c>
      <c r="K13" s="16">
        <f>Inputs!K7</f>
        <v/>
      </c>
      <c r="L13" s="16">
        <f>Inputs!L7</f>
        <v/>
      </c>
      <c r="M13" s="16">
        <f>Inputs!M7</f>
        <v/>
      </c>
      <c r="N13" s="16">
        <f>Inputs!N7</f>
        <v/>
      </c>
      <c r="O13" s="16">
        <f>Inputs!O7</f>
        <v/>
      </c>
      <c r="P13" s="16">
        <f>Inputs!P7</f>
        <v/>
      </c>
      <c r="Q13" s="16">
        <f>Inputs!Q7</f>
        <v/>
      </c>
      <c r="R13" s="16">
        <f>Inputs!R7</f>
        <v/>
      </c>
      <c r="S13" s="16">
        <f>Inputs!S7</f>
        <v/>
      </c>
      <c r="T13" s="16">
        <f>Inputs!T7</f>
        <v/>
      </c>
      <c r="U13" s="16">
        <f>Inputs!U7</f>
        <v/>
      </c>
      <c r="V13" s="16">
        <f>Inputs!V7</f>
        <v/>
      </c>
      <c r="W13" s="16">
        <f>Inputs!W7</f>
        <v/>
      </c>
      <c r="X13" s="16">
        <f>Inputs!X7</f>
        <v/>
      </c>
      <c r="Y13" s="16">
        <f>Inputs!Y7</f>
        <v/>
      </c>
      <c r="Z13">
        <f>Y13</f>
        <v/>
      </c>
    </row>
    <row r="15">
      <c r="A15" s="15" t="inlineStr">
        <is>
          <t>EXPENSES</t>
        </is>
      </c>
    </row>
    <row r="16">
      <c r="A16" t="inlineStr">
        <is>
          <t>Salaries (incl. avgift)</t>
        </is>
      </c>
      <c r="B16" s="17">
        <f>B13*Assumptions!$B$13</f>
        <v/>
      </c>
      <c r="C16" s="17">
        <f>C13*Assumptions!$B$13</f>
        <v/>
      </c>
      <c r="D16" s="17">
        <f>D13*Assumptions!$B$13</f>
        <v/>
      </c>
      <c r="E16" s="17">
        <f>E13*Assumptions!$B$13</f>
        <v/>
      </c>
      <c r="F16" s="17">
        <f>F13*Assumptions!$B$13</f>
        <v/>
      </c>
      <c r="G16" s="17">
        <f>G13*Assumptions!$B$13</f>
        <v/>
      </c>
      <c r="H16" s="17">
        <f>H13*Assumptions!$B$13</f>
        <v/>
      </c>
      <c r="I16" s="17">
        <f>I13*Assumptions!$B$13</f>
        <v/>
      </c>
      <c r="J16" s="17">
        <f>J13*Assumptions!$B$13</f>
        <v/>
      </c>
      <c r="K16" s="17">
        <f>K13*Assumptions!$B$13</f>
        <v/>
      </c>
      <c r="L16" s="17">
        <f>L13*Assumptions!$B$13</f>
        <v/>
      </c>
      <c r="M16" s="17">
        <f>M13*Assumptions!$B$13</f>
        <v/>
      </c>
      <c r="N16" s="17">
        <f>N13*Assumptions!$B$13</f>
        <v/>
      </c>
      <c r="O16" s="17">
        <f>O13*Assumptions!$B$13</f>
        <v/>
      </c>
      <c r="P16" s="17">
        <f>P13*Assumptions!$B$13</f>
        <v/>
      </c>
      <c r="Q16" s="17">
        <f>Q13*Assumptions!$B$13</f>
        <v/>
      </c>
      <c r="R16" s="17">
        <f>R13*Assumptions!$B$13</f>
        <v/>
      </c>
      <c r="S16" s="17">
        <f>S13*Assumptions!$B$13</f>
        <v/>
      </c>
      <c r="T16" s="17">
        <f>T13*Assumptions!$B$13</f>
        <v/>
      </c>
      <c r="U16" s="17">
        <f>U13*Assumptions!$B$13</f>
        <v/>
      </c>
      <c r="V16" s="17">
        <f>V13*Assumptions!$B$13</f>
        <v/>
      </c>
      <c r="W16" s="17">
        <f>W13*Assumptions!$B$13</f>
        <v/>
      </c>
      <c r="X16" s="17">
        <f>X13*Assumptions!$B$13</f>
        <v/>
      </c>
      <c r="Y16" s="17">
        <f>Y13*Assumptions!$B$13</f>
        <v/>
      </c>
      <c r="Z16" s="6">
        <f>SUM(B16:Y16)</f>
        <v/>
      </c>
    </row>
    <row r="17">
      <c r="A17" t="inlineStr">
        <is>
          <t>Compute</t>
        </is>
      </c>
      <c r="B17" s="17">
        <f>Assumptions!$B$20+(B6*Assumptions!$B$21)</f>
        <v/>
      </c>
      <c r="C17" s="17">
        <f>Assumptions!$B$20+(C6*Assumptions!$B$21)</f>
        <v/>
      </c>
      <c r="D17" s="17">
        <f>Assumptions!$B$20+(D6*Assumptions!$B$21)</f>
        <v/>
      </c>
      <c r="E17" s="17">
        <f>Assumptions!$B$20+(E6*Assumptions!$B$21)</f>
        <v/>
      </c>
      <c r="F17" s="17">
        <f>Assumptions!$B$20+(F6*Assumptions!$B$21)</f>
        <v/>
      </c>
      <c r="G17" s="17">
        <f>Assumptions!$B$20+(G6*Assumptions!$B$21)</f>
        <v/>
      </c>
      <c r="H17" s="17">
        <f>Assumptions!$B$20+(H6*Assumptions!$B$21)</f>
        <v/>
      </c>
      <c r="I17" s="17">
        <f>Assumptions!$B$20+(I6*Assumptions!$B$21)</f>
        <v/>
      </c>
      <c r="J17" s="17">
        <f>Assumptions!$B$20+(J6*Assumptions!$B$21)</f>
        <v/>
      </c>
      <c r="K17" s="17">
        <f>Assumptions!$B$20+(K6*Assumptions!$B$21)</f>
        <v/>
      </c>
      <c r="L17" s="17">
        <f>Assumptions!$B$20+(L6*Assumptions!$B$21)</f>
        <v/>
      </c>
      <c r="M17" s="17">
        <f>Assumptions!$B$20+(M6*Assumptions!$B$21)</f>
        <v/>
      </c>
      <c r="N17" s="17">
        <f>Assumptions!$B$20+(N6*Assumptions!$B$21)</f>
        <v/>
      </c>
      <c r="O17" s="17">
        <f>Assumptions!$B$20+(O6*Assumptions!$B$21)</f>
        <v/>
      </c>
      <c r="P17" s="17">
        <f>Assumptions!$B$20+(P6*Assumptions!$B$21)</f>
        <v/>
      </c>
      <c r="Q17" s="17">
        <f>Assumptions!$B$20+(Q6*Assumptions!$B$21)</f>
        <v/>
      </c>
      <c r="R17" s="17">
        <f>Assumptions!$B$20+(R6*Assumptions!$B$21)</f>
        <v/>
      </c>
      <c r="S17" s="17">
        <f>Assumptions!$B$20+(S6*Assumptions!$B$21)</f>
        <v/>
      </c>
      <c r="T17" s="17">
        <f>Assumptions!$B$20+(T6*Assumptions!$B$21)</f>
        <v/>
      </c>
      <c r="U17" s="17">
        <f>Assumptions!$B$20+(U6*Assumptions!$B$21)</f>
        <v/>
      </c>
      <c r="V17" s="17">
        <f>Assumptions!$B$20+(V6*Assumptions!$B$21)</f>
        <v/>
      </c>
      <c r="W17" s="17">
        <f>Assumptions!$B$20+(W6*Assumptions!$B$21)</f>
        <v/>
      </c>
      <c r="X17" s="17">
        <f>Assumptions!$B$20+(X6*Assumptions!$B$21)</f>
        <v/>
      </c>
      <c r="Y17" s="17">
        <f>Assumptions!$B$20+(Y6*Assumptions!$B$21)</f>
        <v/>
      </c>
      <c r="Z17" s="6">
        <f>SUM(B17:Y17)</f>
        <v/>
      </c>
    </row>
    <row r="18">
      <c r="A18" t="inlineStr">
        <is>
          <t>Data</t>
        </is>
      </c>
      <c r="B18" s="17">
        <f>Assumptions!$B$22+(B6*Assumptions!$B$23)</f>
        <v/>
      </c>
      <c r="C18" s="17">
        <f>Assumptions!$B$22+(C6*Assumptions!$B$23)</f>
        <v/>
      </c>
      <c r="D18" s="17">
        <f>Assumptions!$B$22+(D6*Assumptions!$B$23)</f>
        <v/>
      </c>
      <c r="E18" s="17">
        <f>Assumptions!$B$22+(E6*Assumptions!$B$23)</f>
        <v/>
      </c>
      <c r="F18" s="17">
        <f>Assumptions!$B$22+(F6*Assumptions!$B$23)</f>
        <v/>
      </c>
      <c r="G18" s="17">
        <f>Assumptions!$B$22+(G6*Assumptions!$B$23)</f>
        <v/>
      </c>
      <c r="H18" s="17">
        <f>Assumptions!$B$22+(H6*Assumptions!$B$23)</f>
        <v/>
      </c>
      <c r="I18" s="17">
        <f>Assumptions!$B$22+(I6*Assumptions!$B$23)</f>
        <v/>
      </c>
      <c r="J18" s="17">
        <f>Assumptions!$B$22+(J6*Assumptions!$B$23)</f>
        <v/>
      </c>
      <c r="K18" s="17">
        <f>Assumptions!$B$22+(K6*Assumptions!$B$23)</f>
        <v/>
      </c>
      <c r="L18" s="17">
        <f>Assumptions!$B$22+(L6*Assumptions!$B$23)</f>
        <v/>
      </c>
      <c r="M18" s="17">
        <f>Assumptions!$B$22+(M6*Assumptions!$B$23)</f>
        <v/>
      </c>
      <c r="N18" s="17">
        <f>Assumptions!$B$22+(N6*Assumptions!$B$23)</f>
        <v/>
      </c>
      <c r="O18" s="17">
        <f>Assumptions!$B$22+(O6*Assumptions!$B$23)</f>
        <v/>
      </c>
      <c r="P18" s="17">
        <f>Assumptions!$B$22+(P6*Assumptions!$B$23)</f>
        <v/>
      </c>
      <c r="Q18" s="17">
        <f>Assumptions!$B$22+(Q6*Assumptions!$B$23)</f>
        <v/>
      </c>
      <c r="R18" s="17">
        <f>Assumptions!$B$22+(R6*Assumptions!$B$23)</f>
        <v/>
      </c>
      <c r="S18" s="17">
        <f>Assumptions!$B$22+(S6*Assumptions!$B$23)</f>
        <v/>
      </c>
      <c r="T18" s="17">
        <f>Assumptions!$B$22+(T6*Assumptions!$B$23)</f>
        <v/>
      </c>
      <c r="U18" s="17">
        <f>Assumptions!$B$22+(U6*Assumptions!$B$23)</f>
        <v/>
      </c>
      <c r="V18" s="17">
        <f>Assumptions!$B$22+(V6*Assumptions!$B$23)</f>
        <v/>
      </c>
      <c r="W18" s="17">
        <f>Assumptions!$B$22+(W6*Assumptions!$B$23)</f>
        <v/>
      </c>
      <c r="X18" s="17">
        <f>Assumptions!$B$22+(X6*Assumptions!$B$23)</f>
        <v/>
      </c>
      <c r="Y18" s="17">
        <f>Assumptions!$B$22+(Y6*Assumptions!$B$23)</f>
        <v/>
      </c>
      <c r="Z18" s="6">
        <f>SUM(B18:Y18)</f>
        <v/>
      </c>
    </row>
    <row r="19">
      <c r="A19" t="inlineStr">
        <is>
          <t>Infrastructure</t>
        </is>
      </c>
      <c r="B19" s="17">
        <f>Assumptions!$B$24+(B13*Assumptions!$B$25)</f>
        <v/>
      </c>
      <c r="C19" s="17">
        <f>Assumptions!$B$24+(C13*Assumptions!$B$25)</f>
        <v/>
      </c>
      <c r="D19" s="17">
        <f>Assumptions!$B$24+(D13*Assumptions!$B$25)</f>
        <v/>
      </c>
      <c r="E19" s="17">
        <f>Assumptions!$B$24+(E13*Assumptions!$B$25)</f>
        <v/>
      </c>
      <c r="F19" s="17">
        <f>Assumptions!$B$24+(F13*Assumptions!$B$25)</f>
        <v/>
      </c>
      <c r="G19" s="17">
        <f>Assumptions!$B$24+(G13*Assumptions!$B$25)</f>
        <v/>
      </c>
      <c r="H19" s="17">
        <f>Assumptions!$B$24+(H13*Assumptions!$B$25)</f>
        <v/>
      </c>
      <c r="I19" s="17">
        <f>Assumptions!$B$24+(I13*Assumptions!$B$25)</f>
        <v/>
      </c>
      <c r="J19" s="17">
        <f>Assumptions!$B$24+(J13*Assumptions!$B$25)</f>
        <v/>
      </c>
      <c r="K19" s="17">
        <f>Assumptions!$B$24+(K13*Assumptions!$B$25)</f>
        <v/>
      </c>
      <c r="L19" s="17">
        <f>Assumptions!$B$24+(L13*Assumptions!$B$25)</f>
        <v/>
      </c>
      <c r="M19" s="17">
        <f>Assumptions!$B$24+(M13*Assumptions!$B$25)</f>
        <v/>
      </c>
      <c r="N19" s="17">
        <f>Assumptions!$B$24+(N13*Assumptions!$B$25)</f>
        <v/>
      </c>
      <c r="O19" s="17">
        <f>Assumptions!$B$24+(O13*Assumptions!$B$25)</f>
        <v/>
      </c>
      <c r="P19" s="17">
        <f>Assumptions!$B$24+(P13*Assumptions!$B$25)</f>
        <v/>
      </c>
      <c r="Q19" s="17">
        <f>Assumptions!$B$24+(Q13*Assumptions!$B$25)</f>
        <v/>
      </c>
      <c r="R19" s="17">
        <f>Assumptions!$B$24+(R13*Assumptions!$B$25)</f>
        <v/>
      </c>
      <c r="S19" s="17">
        <f>Assumptions!$B$24+(S13*Assumptions!$B$25)</f>
        <v/>
      </c>
      <c r="T19" s="17">
        <f>Assumptions!$B$24+(T13*Assumptions!$B$25)</f>
        <v/>
      </c>
      <c r="U19" s="17">
        <f>Assumptions!$B$24+(U13*Assumptions!$B$25)</f>
        <v/>
      </c>
      <c r="V19" s="17">
        <f>Assumptions!$B$24+(V13*Assumptions!$B$25)</f>
        <v/>
      </c>
      <c r="W19" s="17">
        <f>Assumptions!$B$24+(W13*Assumptions!$B$25)</f>
        <v/>
      </c>
      <c r="X19" s="17">
        <f>Assumptions!$B$24+(X13*Assumptions!$B$25)</f>
        <v/>
      </c>
      <c r="Y19" s="17">
        <f>Assumptions!$B$24+(Y13*Assumptions!$B$25)</f>
        <v/>
      </c>
      <c r="Z19" s="6">
        <f>SUM(B19:Y19)</f>
        <v/>
      </c>
    </row>
    <row r="20">
      <c r="A20" t="inlineStr">
        <is>
          <t>Office</t>
        </is>
      </c>
      <c r="B20" s="17">
        <f>B13*Assumptions!$B$26</f>
        <v/>
      </c>
      <c r="C20" s="17">
        <f>C13*Assumptions!$B$26</f>
        <v/>
      </c>
      <c r="D20" s="17">
        <f>D13*Assumptions!$B$26</f>
        <v/>
      </c>
      <c r="E20" s="17">
        <f>E13*Assumptions!$B$26</f>
        <v/>
      </c>
      <c r="F20" s="17">
        <f>F13*Assumptions!$B$26</f>
        <v/>
      </c>
      <c r="G20" s="17">
        <f>G13*Assumptions!$B$26</f>
        <v/>
      </c>
      <c r="H20" s="17">
        <f>H13*Assumptions!$B$26</f>
        <v/>
      </c>
      <c r="I20" s="17">
        <f>I13*Assumptions!$B$26</f>
        <v/>
      </c>
      <c r="J20" s="17">
        <f>J13*Assumptions!$B$26</f>
        <v/>
      </c>
      <c r="K20" s="17">
        <f>K13*Assumptions!$B$26</f>
        <v/>
      </c>
      <c r="L20" s="17">
        <f>L13*Assumptions!$B$26</f>
        <v/>
      </c>
      <c r="M20" s="17">
        <f>M13*Assumptions!$B$26</f>
        <v/>
      </c>
      <c r="N20" s="17">
        <f>N13*Assumptions!$B$26</f>
        <v/>
      </c>
      <c r="O20" s="17">
        <f>O13*Assumptions!$B$26</f>
        <v/>
      </c>
      <c r="P20" s="17">
        <f>P13*Assumptions!$B$26</f>
        <v/>
      </c>
      <c r="Q20" s="17">
        <f>Q13*Assumptions!$B$26</f>
        <v/>
      </c>
      <c r="R20" s="17">
        <f>R13*Assumptions!$B$26</f>
        <v/>
      </c>
      <c r="S20" s="17">
        <f>S13*Assumptions!$B$26</f>
        <v/>
      </c>
      <c r="T20" s="17">
        <f>T13*Assumptions!$B$26</f>
        <v/>
      </c>
      <c r="U20" s="17">
        <f>U13*Assumptions!$B$26</f>
        <v/>
      </c>
      <c r="V20" s="17">
        <f>V13*Assumptions!$B$26</f>
        <v/>
      </c>
      <c r="W20" s="17">
        <f>W13*Assumptions!$B$26</f>
        <v/>
      </c>
      <c r="X20" s="17">
        <f>X13*Assumptions!$B$26</f>
        <v/>
      </c>
      <c r="Y20" s="17">
        <f>Y13*Assumptions!$B$26</f>
        <v/>
      </c>
      <c r="Z20" s="6">
        <f>SUM(B20:Y20)</f>
        <v/>
      </c>
    </row>
    <row r="21">
      <c r="A21" t="inlineStr">
        <is>
          <t>Sales &amp; Marketing</t>
        </is>
      </c>
      <c r="B21" s="17">
        <f>Assumptions!$B$27+(B6*Assumptions!$B$28)</f>
        <v/>
      </c>
      <c r="C21" s="17">
        <f>Assumptions!$B$27+(C6*Assumptions!$B$28)</f>
        <v/>
      </c>
      <c r="D21" s="17">
        <f>Assumptions!$B$27+(D6*Assumptions!$B$28)</f>
        <v/>
      </c>
      <c r="E21" s="17">
        <f>Assumptions!$B$27+(E6*Assumptions!$B$28)</f>
        <v/>
      </c>
      <c r="F21" s="17">
        <f>Assumptions!$B$27+(F6*Assumptions!$B$28)</f>
        <v/>
      </c>
      <c r="G21" s="17">
        <f>Assumptions!$B$27+(G6*Assumptions!$B$28)</f>
        <v/>
      </c>
      <c r="H21" s="17">
        <f>Assumptions!$B$27+(H6*Assumptions!$B$28)</f>
        <v/>
      </c>
      <c r="I21" s="17">
        <f>Assumptions!$B$27+(I6*Assumptions!$B$28)</f>
        <v/>
      </c>
      <c r="J21" s="17">
        <f>Assumptions!$B$27+(J6*Assumptions!$B$28)</f>
        <v/>
      </c>
      <c r="K21" s="17">
        <f>Assumptions!$B$27+(K6*Assumptions!$B$28)</f>
        <v/>
      </c>
      <c r="L21" s="17">
        <f>Assumptions!$B$27+(L6*Assumptions!$B$28)</f>
        <v/>
      </c>
      <c r="M21" s="17">
        <f>Assumptions!$B$27+(M6*Assumptions!$B$28)</f>
        <v/>
      </c>
      <c r="N21" s="17">
        <f>Assumptions!$B$27+(N6*Assumptions!$B$28)</f>
        <v/>
      </c>
      <c r="O21" s="17">
        <f>Assumptions!$B$27+(O6*Assumptions!$B$28)</f>
        <v/>
      </c>
      <c r="P21" s="17">
        <f>Assumptions!$B$27+(P6*Assumptions!$B$28)</f>
        <v/>
      </c>
      <c r="Q21" s="17">
        <f>Assumptions!$B$27+(Q6*Assumptions!$B$28)</f>
        <v/>
      </c>
      <c r="R21" s="17">
        <f>Assumptions!$B$27+(R6*Assumptions!$B$28)</f>
        <v/>
      </c>
      <c r="S21" s="17">
        <f>Assumptions!$B$27+(S6*Assumptions!$B$28)</f>
        <v/>
      </c>
      <c r="T21" s="17">
        <f>Assumptions!$B$27+(T6*Assumptions!$B$28)</f>
        <v/>
      </c>
      <c r="U21" s="17">
        <f>Assumptions!$B$27+(U6*Assumptions!$B$28)</f>
        <v/>
      </c>
      <c r="V21" s="17">
        <f>Assumptions!$B$27+(V6*Assumptions!$B$28)</f>
        <v/>
      </c>
      <c r="W21" s="17">
        <f>Assumptions!$B$27+(W6*Assumptions!$B$28)</f>
        <v/>
      </c>
      <c r="X21" s="17">
        <f>Assumptions!$B$27+(X6*Assumptions!$B$28)</f>
        <v/>
      </c>
      <c r="Y21" s="17">
        <f>Assumptions!$B$27+(Y6*Assumptions!$B$28)</f>
        <v/>
      </c>
      <c r="Z21" s="6">
        <f>SUM(B21:Y21)</f>
        <v/>
      </c>
    </row>
    <row r="22">
      <c r="A22" t="inlineStr">
        <is>
          <t>Admin &amp; Legal</t>
        </is>
      </c>
      <c r="B22" s="17">
        <f>Assumptions!$B$29</f>
        <v/>
      </c>
      <c r="C22" s="17">
        <f>Assumptions!$B$29</f>
        <v/>
      </c>
      <c r="D22" s="17">
        <f>Assumptions!$B$29</f>
        <v/>
      </c>
      <c r="E22" s="17">
        <f>Assumptions!$B$29</f>
        <v/>
      </c>
      <c r="F22" s="17">
        <f>Assumptions!$B$29</f>
        <v/>
      </c>
      <c r="G22" s="17">
        <f>Assumptions!$B$29</f>
        <v/>
      </c>
      <c r="H22" s="17">
        <f>Assumptions!$B$29</f>
        <v/>
      </c>
      <c r="I22" s="17">
        <f>Assumptions!$B$29</f>
        <v/>
      </c>
      <c r="J22" s="17">
        <f>Assumptions!$B$29</f>
        <v/>
      </c>
      <c r="K22" s="17">
        <f>Assumptions!$B$29</f>
        <v/>
      </c>
      <c r="L22" s="17">
        <f>Assumptions!$B$29</f>
        <v/>
      </c>
      <c r="M22" s="17">
        <f>Assumptions!$B$29</f>
        <v/>
      </c>
      <c r="N22" s="17">
        <f>Assumptions!$B$29</f>
        <v/>
      </c>
      <c r="O22" s="17">
        <f>Assumptions!$B$29</f>
        <v/>
      </c>
      <c r="P22" s="17">
        <f>Assumptions!$B$29</f>
        <v/>
      </c>
      <c r="Q22" s="17">
        <f>Assumptions!$B$29</f>
        <v/>
      </c>
      <c r="R22" s="17">
        <f>Assumptions!$B$29</f>
        <v/>
      </c>
      <c r="S22" s="17">
        <f>Assumptions!$B$29</f>
        <v/>
      </c>
      <c r="T22" s="17">
        <f>Assumptions!$B$29</f>
        <v/>
      </c>
      <c r="U22" s="17">
        <f>Assumptions!$B$29</f>
        <v/>
      </c>
      <c r="V22" s="17">
        <f>Assumptions!$B$29</f>
        <v/>
      </c>
      <c r="W22" s="17">
        <f>Assumptions!$B$29</f>
        <v/>
      </c>
      <c r="X22" s="17">
        <f>Assumptions!$B$29</f>
        <v/>
      </c>
      <c r="Y22" s="17">
        <f>Assumptions!$B$29</f>
        <v/>
      </c>
      <c r="Z22" s="6">
        <f>SUM(B22:Y22)</f>
        <v/>
      </c>
    </row>
    <row r="23">
      <c r="A23" t="inlineStr">
        <is>
          <t>Subtotal Expenses</t>
        </is>
      </c>
      <c r="B23" s="17">
        <f>SUM(B16:B22)</f>
        <v/>
      </c>
      <c r="C23" s="17">
        <f>SUM(C16:C22)</f>
        <v/>
      </c>
      <c r="D23" s="17">
        <f>SUM(D16:D22)</f>
        <v/>
      </c>
      <c r="E23" s="17">
        <f>SUM(E16:E22)</f>
        <v/>
      </c>
      <c r="F23" s="17">
        <f>SUM(F16:F22)</f>
        <v/>
      </c>
      <c r="G23" s="17">
        <f>SUM(G16:G22)</f>
        <v/>
      </c>
      <c r="H23" s="17">
        <f>SUM(H16:H22)</f>
        <v/>
      </c>
      <c r="I23" s="17">
        <f>SUM(I16:I22)</f>
        <v/>
      </c>
      <c r="J23" s="17">
        <f>SUM(J16:J22)</f>
        <v/>
      </c>
      <c r="K23" s="17">
        <f>SUM(K16:K22)</f>
        <v/>
      </c>
      <c r="L23" s="17">
        <f>SUM(L16:L22)</f>
        <v/>
      </c>
      <c r="M23" s="17">
        <f>SUM(M16:M22)</f>
        <v/>
      </c>
      <c r="N23" s="17">
        <f>SUM(N16:N22)</f>
        <v/>
      </c>
      <c r="O23" s="17">
        <f>SUM(O16:O22)</f>
        <v/>
      </c>
      <c r="P23" s="17">
        <f>SUM(P16:P22)</f>
        <v/>
      </c>
      <c r="Q23" s="17">
        <f>SUM(Q16:Q22)</f>
        <v/>
      </c>
      <c r="R23" s="17">
        <f>SUM(R16:R22)</f>
        <v/>
      </c>
      <c r="S23" s="17">
        <f>SUM(S16:S22)</f>
        <v/>
      </c>
      <c r="T23" s="17">
        <f>SUM(T16:T22)</f>
        <v/>
      </c>
      <c r="U23" s="17">
        <f>SUM(U16:U22)</f>
        <v/>
      </c>
      <c r="V23" s="17">
        <f>SUM(V16:V22)</f>
        <v/>
      </c>
      <c r="W23" s="17">
        <f>SUM(W16:W22)</f>
        <v/>
      </c>
      <c r="X23" s="17">
        <f>SUM(X16:X22)</f>
        <v/>
      </c>
      <c r="Y23" s="17">
        <f>SUM(Y16:Y22)</f>
        <v/>
      </c>
      <c r="Z23" s="6">
        <f>SUM(B23:Y23)</f>
        <v/>
      </c>
    </row>
    <row r="24">
      <c r="A24" t="inlineStr">
        <is>
          <t>Buffer</t>
        </is>
      </c>
      <c r="B24" s="17">
        <f>B23*Assumptions!$B$30</f>
        <v/>
      </c>
      <c r="C24" s="17">
        <f>C23*Assumptions!$B$30</f>
        <v/>
      </c>
      <c r="D24" s="17">
        <f>D23*Assumptions!$B$30</f>
        <v/>
      </c>
      <c r="E24" s="17">
        <f>E23*Assumptions!$B$30</f>
        <v/>
      </c>
      <c r="F24" s="17">
        <f>F23*Assumptions!$B$30</f>
        <v/>
      </c>
      <c r="G24" s="17">
        <f>G23*Assumptions!$B$30</f>
        <v/>
      </c>
      <c r="H24" s="17">
        <f>H23*Assumptions!$B$30</f>
        <v/>
      </c>
      <c r="I24" s="17">
        <f>I23*Assumptions!$B$30</f>
        <v/>
      </c>
      <c r="J24" s="17">
        <f>J23*Assumptions!$B$30</f>
        <v/>
      </c>
      <c r="K24" s="17">
        <f>K23*Assumptions!$B$30</f>
        <v/>
      </c>
      <c r="L24" s="17">
        <f>L23*Assumptions!$B$30</f>
        <v/>
      </c>
      <c r="M24" s="17">
        <f>M23*Assumptions!$B$30</f>
        <v/>
      </c>
      <c r="N24" s="17">
        <f>N23*Assumptions!$B$30</f>
        <v/>
      </c>
      <c r="O24" s="17">
        <f>O23*Assumptions!$B$30</f>
        <v/>
      </c>
      <c r="P24" s="17">
        <f>P23*Assumptions!$B$30</f>
        <v/>
      </c>
      <c r="Q24" s="17">
        <f>Q23*Assumptions!$B$30</f>
        <v/>
      </c>
      <c r="R24" s="17">
        <f>R23*Assumptions!$B$30</f>
        <v/>
      </c>
      <c r="S24" s="17">
        <f>S23*Assumptions!$B$30</f>
        <v/>
      </c>
      <c r="T24" s="17">
        <f>T23*Assumptions!$B$30</f>
        <v/>
      </c>
      <c r="U24" s="17">
        <f>U23*Assumptions!$B$30</f>
        <v/>
      </c>
      <c r="V24" s="17">
        <f>V23*Assumptions!$B$30</f>
        <v/>
      </c>
      <c r="W24" s="17">
        <f>W23*Assumptions!$B$30</f>
        <v/>
      </c>
      <c r="X24" s="17">
        <f>X23*Assumptions!$B$30</f>
        <v/>
      </c>
      <c r="Y24" s="17">
        <f>Y23*Assumptions!$B$30</f>
        <v/>
      </c>
      <c r="Z24" s="6">
        <f>SUM(B24:Y24)</f>
        <v/>
      </c>
    </row>
    <row r="25">
      <c r="A25" s="12" t="inlineStr">
        <is>
          <t>TOTAL EXPENSES</t>
        </is>
      </c>
      <c r="B25" s="18">
        <f>B23+B24</f>
        <v/>
      </c>
      <c r="C25" s="18">
        <f>C23+C24</f>
        <v/>
      </c>
      <c r="D25" s="18">
        <f>D23+D24</f>
        <v/>
      </c>
      <c r="E25" s="18">
        <f>E23+E24</f>
        <v/>
      </c>
      <c r="F25" s="18">
        <f>F23+F24</f>
        <v/>
      </c>
      <c r="G25" s="18">
        <f>G23+G24</f>
        <v/>
      </c>
      <c r="H25" s="18">
        <f>H23+H24</f>
        <v/>
      </c>
      <c r="I25" s="18">
        <f>I23+I24</f>
        <v/>
      </c>
      <c r="J25" s="18">
        <f>J23+J24</f>
        <v/>
      </c>
      <c r="K25" s="18">
        <f>K23+K24</f>
        <v/>
      </c>
      <c r="L25" s="18">
        <f>L23+L24</f>
        <v/>
      </c>
      <c r="M25" s="18">
        <f>M23+M24</f>
        <v/>
      </c>
      <c r="N25" s="18">
        <f>N23+N24</f>
        <v/>
      </c>
      <c r="O25" s="18">
        <f>O23+O24</f>
        <v/>
      </c>
      <c r="P25" s="18">
        <f>P23+P24</f>
        <v/>
      </c>
      <c r="Q25" s="18">
        <f>Q23+Q24</f>
        <v/>
      </c>
      <c r="R25" s="18">
        <f>R23+R24</f>
        <v/>
      </c>
      <c r="S25" s="18">
        <f>S23+S24</f>
        <v/>
      </c>
      <c r="T25" s="18">
        <f>T23+T24</f>
        <v/>
      </c>
      <c r="U25" s="18">
        <f>U23+U24</f>
        <v/>
      </c>
      <c r="V25" s="18">
        <f>V23+V24</f>
        <v/>
      </c>
      <c r="W25" s="18">
        <f>W23+W24</f>
        <v/>
      </c>
      <c r="X25" s="18">
        <f>X23+X24</f>
        <v/>
      </c>
      <c r="Y25" s="18">
        <f>Y23+Y24</f>
        <v/>
      </c>
      <c r="Z25" s="19">
        <f>SUM(B25:Y25)</f>
        <v/>
      </c>
    </row>
    <row r="27">
      <c r="A27" s="15" t="inlineStr">
        <is>
          <t>CASH FLOW</t>
        </is>
      </c>
    </row>
    <row r="28">
      <c r="A28" t="inlineStr">
        <is>
          <t>Net Cashflow</t>
        </is>
      </c>
      <c r="B28" s="17">
        <f>B9-B25</f>
        <v/>
      </c>
      <c r="C28" s="17">
        <f>C9-C25</f>
        <v/>
      </c>
      <c r="D28" s="17">
        <f>D9-D25</f>
        <v/>
      </c>
      <c r="E28" s="17">
        <f>E9-E25</f>
        <v/>
      </c>
      <c r="F28" s="17">
        <f>F9-F25</f>
        <v/>
      </c>
      <c r="G28" s="17">
        <f>G9-G25</f>
        <v/>
      </c>
      <c r="H28" s="17">
        <f>H9-H25</f>
        <v/>
      </c>
      <c r="I28" s="17">
        <f>I9-I25</f>
        <v/>
      </c>
      <c r="J28" s="17">
        <f>J9-J25</f>
        <v/>
      </c>
      <c r="K28" s="17">
        <f>K9-K25</f>
        <v/>
      </c>
      <c r="L28" s="17">
        <f>L9-L25</f>
        <v/>
      </c>
      <c r="M28" s="17">
        <f>M9-M25</f>
        <v/>
      </c>
      <c r="N28" s="17">
        <f>N9-N25</f>
        <v/>
      </c>
      <c r="O28" s="17">
        <f>O9-O25</f>
        <v/>
      </c>
      <c r="P28" s="17">
        <f>P9-P25</f>
        <v/>
      </c>
      <c r="Q28" s="17">
        <f>Q9-Q25</f>
        <v/>
      </c>
      <c r="R28" s="17">
        <f>R9-R25</f>
        <v/>
      </c>
      <c r="S28" s="17">
        <f>S9-S25</f>
        <v/>
      </c>
      <c r="T28" s="17">
        <f>T9-T25</f>
        <v/>
      </c>
      <c r="U28" s="17">
        <f>U9-U25</f>
        <v/>
      </c>
      <c r="V28" s="17">
        <f>V9-V25</f>
        <v/>
      </c>
      <c r="W28" s="17">
        <f>W9-W25</f>
        <v/>
      </c>
      <c r="X28" s="17">
        <f>X9-X25</f>
        <v/>
      </c>
      <c r="Y28" s="17">
        <f>Y9-Y25</f>
        <v/>
      </c>
      <c r="Z28" s="6">
        <f>SUM(B28:Y28)</f>
        <v/>
      </c>
    </row>
    <row r="29">
      <c r="A29" s="12" t="inlineStr">
        <is>
          <t>Cash Balance</t>
        </is>
      </c>
      <c r="B29" s="18">
        <f>Assumptions!$B$5+B28</f>
        <v/>
      </c>
      <c r="C29" s="18">
        <f>B29+C28</f>
        <v/>
      </c>
      <c r="D29" s="18">
        <f>C29+D28</f>
        <v/>
      </c>
      <c r="E29" s="18">
        <f>D29+E28</f>
        <v/>
      </c>
      <c r="F29" s="18">
        <f>E29+F28</f>
        <v/>
      </c>
      <c r="G29" s="18">
        <f>F29+G28</f>
        <v/>
      </c>
      <c r="H29" s="18">
        <f>G29+H28</f>
        <v/>
      </c>
      <c r="I29" s="18">
        <f>H29+I28</f>
        <v/>
      </c>
      <c r="J29" s="18">
        <f>I29+J28</f>
        <v/>
      </c>
      <c r="K29" s="18">
        <f>J29+K28</f>
        <v/>
      </c>
      <c r="L29" s="18">
        <f>K29+L28</f>
        <v/>
      </c>
      <c r="M29" s="18">
        <f>L29+M28</f>
        <v/>
      </c>
      <c r="N29" s="18">
        <f>M29+N28</f>
        <v/>
      </c>
      <c r="O29" s="18">
        <f>N29+O28</f>
        <v/>
      </c>
      <c r="P29" s="18">
        <f>O29+P28</f>
        <v/>
      </c>
      <c r="Q29" s="18">
        <f>P29+Q28</f>
        <v/>
      </c>
      <c r="R29" s="18">
        <f>Q29+R28</f>
        <v/>
      </c>
      <c r="S29" s="18">
        <f>R29+S28</f>
        <v/>
      </c>
      <c r="T29" s="18">
        <f>S29+T28</f>
        <v/>
      </c>
      <c r="U29" s="18">
        <f>T29+U28</f>
        <v/>
      </c>
      <c r="V29" s="18">
        <f>U29+V28</f>
        <v/>
      </c>
      <c r="W29" s="18">
        <f>V29+W28</f>
        <v/>
      </c>
      <c r="X29" s="18">
        <f>W29+X28</f>
        <v/>
      </c>
      <c r="Y29" s="18">
        <f>X29+Y28</f>
        <v/>
      </c>
      <c r="Z29" s="19">
        <f>Y29</f>
        <v/>
      </c>
    </row>
    <row r="31">
      <c r="A31" s="15" t="inlineStr">
        <is>
          <t>KEY METRICS</t>
        </is>
      </c>
    </row>
    <row r="32">
      <c r="A32" t="inlineStr">
        <is>
          <t>Runway (months)</t>
        </is>
      </c>
      <c r="B32" s="20">
        <f>IF(B25&gt;0,B29/B25,999)</f>
        <v/>
      </c>
      <c r="C32" s="20">
        <f>IF(C25&gt;0,C29/C25,999)</f>
        <v/>
      </c>
      <c r="D32" s="20">
        <f>IF(D25&gt;0,D29/D25,999)</f>
        <v/>
      </c>
      <c r="E32" s="20">
        <f>IF(E25&gt;0,E29/E25,999)</f>
        <v/>
      </c>
      <c r="F32" s="20">
        <f>IF(F25&gt;0,F29/F25,999)</f>
        <v/>
      </c>
      <c r="G32" s="20">
        <f>IF(G25&gt;0,G29/G25,999)</f>
        <v/>
      </c>
      <c r="H32" s="20">
        <f>IF(H25&gt;0,H29/H25,999)</f>
        <v/>
      </c>
      <c r="I32" s="20">
        <f>IF(I25&gt;0,I29/I25,999)</f>
        <v/>
      </c>
      <c r="J32" s="20">
        <f>IF(J25&gt;0,J29/J25,999)</f>
        <v/>
      </c>
      <c r="K32" s="20">
        <f>IF(K25&gt;0,K29/K25,999)</f>
        <v/>
      </c>
      <c r="L32" s="20">
        <f>IF(L25&gt;0,L29/L25,999)</f>
        <v/>
      </c>
      <c r="M32" s="20">
        <f>IF(M25&gt;0,M29/M25,999)</f>
        <v/>
      </c>
      <c r="N32" s="20">
        <f>IF(N25&gt;0,N29/N25,999)</f>
        <v/>
      </c>
      <c r="O32" s="20">
        <f>IF(O25&gt;0,O29/O25,999)</f>
        <v/>
      </c>
      <c r="P32" s="20">
        <f>IF(P25&gt;0,P29/P25,999)</f>
        <v/>
      </c>
      <c r="Q32" s="20">
        <f>IF(Q25&gt;0,Q29/Q25,999)</f>
        <v/>
      </c>
      <c r="R32" s="20">
        <f>IF(R25&gt;0,R29/R25,999)</f>
        <v/>
      </c>
      <c r="S32" s="20">
        <f>IF(S25&gt;0,S29/S25,999)</f>
        <v/>
      </c>
      <c r="T32" s="20">
        <f>IF(T25&gt;0,T29/T25,999)</f>
        <v/>
      </c>
      <c r="U32" s="20">
        <f>IF(U25&gt;0,U29/U25,999)</f>
        <v/>
      </c>
      <c r="V32" s="20">
        <f>IF(V25&gt;0,V29/V25,999)</f>
        <v/>
      </c>
      <c r="W32" s="20">
        <f>IF(W25&gt;0,W29/W25,999)</f>
        <v/>
      </c>
      <c r="X32" s="20">
        <f>IF(X25&gt;0,X29/X25,999)</f>
        <v/>
      </c>
      <c r="Y32" s="20">
        <f>IF(Y25&gt;0,Y29/Y25,999)</f>
        <v/>
      </c>
    </row>
    <row r="33">
      <c r="A33" t="inlineStr">
        <is>
          <t>Monthly Burn</t>
        </is>
      </c>
      <c r="B33" s="17">
        <f>IF(B28&lt;0,-B28,0)</f>
        <v/>
      </c>
      <c r="C33" s="17">
        <f>IF(C28&lt;0,-C28,0)</f>
        <v/>
      </c>
      <c r="D33" s="17">
        <f>IF(D28&lt;0,-D28,0)</f>
        <v/>
      </c>
      <c r="E33" s="17">
        <f>IF(E28&lt;0,-E28,0)</f>
        <v/>
      </c>
      <c r="F33" s="17">
        <f>IF(F28&lt;0,-F28,0)</f>
        <v/>
      </c>
      <c r="G33" s="17">
        <f>IF(G28&lt;0,-G28,0)</f>
        <v/>
      </c>
      <c r="H33" s="17">
        <f>IF(H28&lt;0,-H28,0)</f>
        <v/>
      </c>
      <c r="I33" s="17">
        <f>IF(I28&lt;0,-I28,0)</f>
        <v/>
      </c>
      <c r="J33" s="17">
        <f>IF(J28&lt;0,-J28,0)</f>
        <v/>
      </c>
      <c r="K33" s="17">
        <f>IF(K28&lt;0,-K28,0)</f>
        <v/>
      </c>
      <c r="L33" s="17">
        <f>IF(L28&lt;0,-L28,0)</f>
        <v/>
      </c>
      <c r="M33" s="17">
        <f>IF(M28&lt;0,-M28,0)</f>
        <v/>
      </c>
      <c r="N33" s="17">
        <f>IF(N28&lt;0,-N28,0)</f>
        <v/>
      </c>
      <c r="O33" s="17">
        <f>IF(O28&lt;0,-O28,0)</f>
        <v/>
      </c>
      <c r="P33" s="17">
        <f>IF(P28&lt;0,-P28,0)</f>
        <v/>
      </c>
      <c r="Q33" s="17">
        <f>IF(Q28&lt;0,-Q28,0)</f>
        <v/>
      </c>
      <c r="R33" s="17">
        <f>IF(R28&lt;0,-R28,0)</f>
        <v/>
      </c>
      <c r="S33" s="17">
        <f>IF(S28&lt;0,-S28,0)</f>
        <v/>
      </c>
      <c r="T33" s="17">
        <f>IF(T28&lt;0,-T28,0)</f>
        <v/>
      </c>
      <c r="U33" s="17">
        <f>IF(U28&lt;0,-U28,0)</f>
        <v/>
      </c>
      <c r="V33" s="17">
        <f>IF(V28&lt;0,-V28,0)</f>
        <v/>
      </c>
      <c r="W33" s="17">
        <f>IF(W28&lt;0,-W28,0)</f>
        <v/>
      </c>
      <c r="X33" s="17">
        <f>IF(X28&lt;0,-X28,0)</f>
        <v/>
      </c>
      <c r="Y33" s="17">
        <f>IF(Y28&lt;0,-Y28,0)</f>
        <v/>
      </c>
      <c r="Z33" s="6">
        <f>SUM(B33:Y33)</f>
        <v/>
      </c>
    </row>
    <row r="35">
      <c r="A35" s="12" t="inlineStr">
        <is>
          <t>LOWEST CASH POINT:</t>
        </is>
      </c>
      <c r="B35" s="21">
        <f>MIN(B29:Y29)</f>
        <v/>
      </c>
    </row>
    <row r="36">
      <c r="A36" s="12" t="inlineStr">
        <is>
          <t>MAX CAPITAL USED:</t>
        </is>
      </c>
      <c r="B36" s="21">
        <f>Assumptions!$B$5-MIN(B29:Y29)</f>
        <v/>
      </c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2026-01-11T20:52:54Z</dcterms:created>
  <dcterms:modified xmlns:dcterms="http://purl.org/dc/terms/" xmlns:xsi="http://www.w3.org/2001/XMLSchema-instance" xsi:type="dcterms:W3CDTF">2026-01-11T20:52:54Z</dcterms:modified>
</cp:coreProperties>
</file>